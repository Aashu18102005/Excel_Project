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okumen\Data Analytics\Excel\Project\"/>
    </mc:Choice>
  </mc:AlternateContent>
  <xr:revisionPtr revIDLastSave="0" documentId="13_ncr:1_{D5F53ED4-7651-4C32-8BE4-E10DC52F2018}" xr6:coauthVersionLast="47" xr6:coauthVersionMax="47" xr10:uidLastSave="{00000000-0000-0000-0000-000000000000}"/>
  <bookViews>
    <workbookView xWindow="-108" yWindow="-108" windowWidth="23256" windowHeight="12456" activeTab="4" xr2:uid="{92276BE4-0238-4935-B215-B277431CAC0F}"/>
  </bookViews>
  <sheets>
    <sheet name="Break" sheetId="1" r:id="rId1"/>
    <sheet name="Efficiency" sheetId="2" r:id="rId2"/>
    <sheet name="OverAll Performance" sheetId="3" r:id="rId3"/>
    <sheet name="My Summary" sheetId="6" r:id="rId4"/>
    <sheet name="DASHBOARD" sheetId="7" r:id="rId5"/>
  </sheets>
  <externalReferences>
    <externalReference r:id="rId6"/>
  </externalReferences>
  <definedNames>
    <definedName name="B_DATA">Break!$A:$I</definedName>
    <definedName name="E_DATA">Efficiency!$A:$Q</definedName>
    <definedName name="P_DATA">'OverAll Performance'!$A:$J</definedName>
  </definedNames>
  <calcPr calcId="191029"/>
  <pivotCaches>
    <pivotCache cacheId="1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2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2" i="6"/>
  <c r="A1" i="6"/>
</calcChain>
</file>

<file path=xl/sharedStrings.xml><?xml version="1.0" encoding="utf-8"?>
<sst xmlns="http://schemas.openxmlformats.org/spreadsheetml/2006/main" count="2454" uniqueCount="1018">
  <si>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</si>
  <si>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</si>
  <si>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</si>
  <si>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</si>
  <si>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</si>
  <si>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</si>
  <si>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</si>
  <si>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</si>
  <si>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</si>
  <si>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</si>
  <si>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</si>
  <si>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</si>
  <si>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</si>
  <si>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</si>
  <si>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</si>
  <si>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</si>
  <si>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</si>
  <si>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</si>
  <si>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</si>
  <si>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</si>
  <si>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</si>
  <si>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</si>
  <si>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</si>
  <si>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</si>
  <si>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</si>
  <si>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</si>
  <si>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</si>
  <si>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</si>
  <si>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</si>
  <si>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</si>
  <si>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</si>
  <si>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</si>
  <si>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</si>
  <si>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</si>
  <si>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</si>
  <si>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</si>
  <si>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</si>
  <si>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</si>
  <si>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</si>
  <si>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</si>
  <si>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</si>
  <si>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</si>
  <si>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</si>
  <si>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</si>
  <si>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</si>
  <si>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</si>
  <si>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</si>
  <si>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</si>
  <si>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</si>
  <si>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</si>
  <si>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</si>
  <si>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</si>
  <si>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</si>
  <si>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</si>
  <si>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</si>
  <si>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</si>
  <si>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</si>
  <si>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</si>
  <si>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</si>
  <si>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</si>
  <si>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</si>
  <si>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</si>
  <si>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</si>
  <si>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</si>
  <si>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</si>
  <si>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</si>
  <si>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</si>
  <si>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</si>
  <si>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</si>
  <si>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</si>
  <si>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</si>
  <si>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</si>
  <si>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</si>
  <si>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</si>
  <si>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</si>
  <si>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</si>
  <si>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</si>
  <si>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</si>
  <si>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</si>
  <si>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</si>
  <si>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</si>
  <si>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</si>
  <si>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</si>
  <si>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</si>
  <si>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</si>
  <si>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</si>
  <si>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</si>
  <si>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</si>
  <si>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</si>
  <si>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</si>
  <si>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</si>
  <si>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</si>
  <si>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</si>
  <si>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</si>
  <si>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</si>
  <si>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</si>
  <si>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</si>
  <si>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</si>
  <si>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</si>
  <si>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</si>
  <si>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</si>
  <si>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</si>
  <si>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</si>
  <si>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</si>
  <si>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</si>
  <si>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</si>
  <si>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</si>
  <si>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</si>
  <si>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</si>
  <si>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</si>
  <si>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</si>
  <si>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</si>
  <si>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</si>
  <si>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</si>
  <si>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</si>
  <si>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</si>
  <si>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</si>
  <si>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</si>
  <si>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</si>
  <si>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</si>
  <si>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</si>
  <si>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</si>
  <si>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</si>
  <si>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</si>
  <si>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</si>
  <si>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</si>
  <si>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</si>
  <si>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</si>
  <si>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</si>
  <si>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</si>
  <si>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</si>
  <si>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</si>
  <si>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</si>
  <si>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</si>
  <si>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</si>
  <si>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</si>
  <si>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</si>
  <si>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</si>
  <si>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</si>
  <si>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</si>
  <si>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</si>
  <si>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</si>
  <si>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</si>
  <si>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</si>
  <si>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</si>
  <si>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</si>
  <si>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</si>
  <si>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</si>
  <si>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</si>
  <si>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</si>
  <si>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</si>
  <si>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</si>
  <si>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</si>
  <si>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</si>
  <si>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</si>
  <si>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</si>
  <si>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</si>
  <si>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</si>
  <si>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</si>
  <si>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</si>
  <si>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</si>
  <si>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</si>
  <si>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</si>
  <si>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</si>
  <si>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</si>
  <si>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</si>
  <si>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</si>
  <si>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</si>
  <si>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</si>
  <si>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</si>
  <si>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</si>
  <si>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</si>
  <si>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</si>
  <si>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</si>
  <si>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</si>
  <si>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</si>
  <si>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</si>
  <si>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</si>
  <si>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</si>
  <si>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</si>
  <si>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</si>
  <si>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</si>
  <si>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</si>
  <si>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</si>
  <si>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</si>
  <si>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</si>
  <si>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</si>
  <si>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</si>
  <si>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</si>
  <si>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</si>
  <si>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</si>
  <si>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</si>
  <si>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</si>
  <si>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</si>
  <si>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</si>
  <si>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</si>
  <si>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</si>
  <si>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</si>
  <si>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</si>
  <si>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</si>
  <si>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</si>
  <si>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</si>
  <si>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</si>
  <si>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</si>
  <si>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</si>
  <si>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</si>
  <si>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</si>
  <si>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</si>
  <si>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</si>
  <si>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</si>
  <si>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</si>
  <si>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</si>
  <si>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</si>
  <si>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</si>
  <si>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</si>
  <si>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</si>
  <si>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</si>
  <si>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</si>
  <si>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</si>
  <si>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</si>
  <si>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</si>
  <si>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</si>
  <si>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</si>
  <si>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</si>
  <si>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</si>
  <si>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</si>
  <si>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</si>
  <si>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</si>
  <si>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</si>
  <si>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</si>
  <si>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</si>
  <si>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</si>
  <si>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</si>
  <si>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</si>
  <si>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</si>
  <si>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</si>
  <si>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</si>
  <si>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</si>
  <si>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</si>
  <si>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</si>
  <si>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</si>
  <si>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</si>
  <si>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</si>
  <si>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</si>
  <si>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</si>
  <si>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</si>
  <si>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</si>
  <si>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</si>
  <si>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</si>
  <si>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</si>
  <si>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</si>
  <si>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</si>
  <si>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</si>
  <si>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</si>
  <si>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</si>
  <si>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</si>
  <si>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</si>
  <si>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</si>
  <si>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</si>
  <si>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</si>
  <si>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</si>
  <si>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</si>
  <si>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</si>
  <si>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</si>
  <si>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</si>
  <si>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</si>
  <si>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</si>
  <si>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</si>
  <si>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</si>
  <si>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</si>
  <si>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</si>
  <si>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</si>
  <si>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</si>
  <si>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</si>
  <si>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</si>
  <si>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</si>
  <si>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</si>
  <si>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</si>
  <si>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</si>
  <si>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</si>
  <si>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</si>
  <si>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</si>
  <si>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</si>
  <si>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</si>
  <si>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</si>
  <si>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</si>
  <si>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</si>
  <si>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</si>
  <si>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</si>
  <si>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</si>
  <si>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</si>
  <si>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</si>
  <si>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</si>
  <si>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</si>
  <si>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</si>
  <si>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</si>
  <si>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</si>
  <si>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</si>
  <si>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</si>
  <si>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</si>
  <si>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</si>
  <si>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</si>
  <si>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</si>
  <si>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</si>
  <si>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</si>
  <si>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</si>
  <si>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</si>
  <si>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</si>
  <si>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</si>
  <si>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</si>
  <si>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</si>
  <si>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</si>
  <si>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</si>
  <si>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</si>
  <si>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</si>
  <si>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</si>
  <si>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</si>
  <si>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</si>
  <si>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</si>
  <si>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</si>
  <si>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</si>
  <si>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</si>
  <si>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</si>
  <si>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</si>
  <si>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</si>
  <si>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</si>
  <si>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</si>
  <si>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</si>
  <si>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</si>
  <si>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</si>
  <si>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</si>
  <si>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</si>
  <si>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</si>
  <si>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</si>
  <si>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</si>
  <si>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</si>
  <si>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</si>
  <si>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</si>
  <si>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</si>
  <si>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</si>
  <si>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</si>
  <si>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</si>
  <si>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</si>
  <si>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</si>
  <si>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</si>
  <si>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</si>
  <si>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</si>
  <si>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</si>
  <si>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</si>
  <si>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</si>
  <si>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</si>
  <si>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</si>
  <si>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</si>
  <si>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</si>
  <si>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</si>
  <si>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</si>
  <si>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</si>
  <si>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</si>
  <si>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</si>
  <si>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</si>
  <si>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</si>
  <si>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</si>
  <si>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</si>
  <si>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</si>
  <si>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</si>
  <si>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</si>
  <si>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</si>
  <si>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</si>
  <si>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</si>
  <si>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</si>
  <si>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</si>
  <si>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</si>
  <si>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</si>
  <si>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</si>
  <si>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</si>
  <si>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</si>
  <si>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</si>
  <si>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</si>
  <si>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</si>
  <si>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</si>
  <si>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</si>
  <si>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</si>
  <si>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</si>
  <si>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</si>
  <si>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</si>
  <si>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</si>
  <si>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</si>
  <si>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</si>
  <si>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</si>
  <si>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</si>
  <si>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</si>
  <si>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</si>
  <si>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</si>
  <si>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</si>
  <si>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</si>
  <si>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</si>
  <si>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</si>
  <si>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</si>
  <si>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</si>
  <si>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</si>
  <si>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</si>
  <si>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</si>
  <si>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</si>
  <si>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</si>
  <si>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</si>
  <si>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</si>
  <si>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</si>
  <si>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</si>
  <si>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</si>
  <si>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</si>
  <si>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</si>
  <si>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</si>
  <si>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</si>
  <si>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</si>
  <si>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</si>
  <si>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</si>
  <si>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</si>
  <si>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</si>
  <si>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</si>
  <si>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</si>
  <si>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</si>
  <si>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</si>
  <si>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</si>
  <si>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</si>
  <si>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</si>
  <si>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</si>
  <si>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</si>
  <si>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</si>
  <si>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</si>
  <si>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</si>
  <si>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</si>
  <si>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</si>
  <si>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</si>
  <si>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</si>
  <si>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</si>
  <si>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</si>
  <si>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</si>
  <si>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</si>
  <si>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</si>
  <si>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</si>
  <si>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</si>
  <si>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</si>
  <si>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</si>
  <si>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</si>
  <si>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</si>
  <si>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</si>
  <si>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</si>
  <si>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</si>
  <si>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</si>
  <si>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</si>
  <si>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</si>
  <si>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</si>
  <si>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</si>
  <si>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</si>
  <si>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</si>
  <si>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</si>
  <si>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</si>
  <si>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</si>
  <si>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</si>
  <si>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</si>
  <si>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</si>
  <si>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</si>
  <si>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</si>
  <si>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</si>
  <si>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</si>
  <si>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</si>
  <si>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</si>
  <si>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</si>
  <si>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</si>
  <si>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</si>
  <si>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</si>
  <si>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</si>
  <si>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</si>
  <si>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</si>
  <si>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</si>
  <si>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</si>
  <si>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</si>
  <si>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</si>
  <si>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</si>
  <si>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</si>
  <si>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</si>
  <si>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</si>
  <si>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</si>
  <si>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</si>
  <si>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</si>
  <si>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</si>
  <si>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</si>
  <si>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</si>
  <si>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</si>
  <si>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</si>
  <si>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</si>
  <si>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</si>
  <si>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</si>
  <si>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</si>
  <si>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</si>
  <si>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</si>
  <si>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</si>
  <si>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</si>
  <si>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</si>
  <si>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</si>
  <si>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</si>
  <si>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</si>
  <si>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</si>
  <si>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</si>
  <si>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</si>
  <si>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</si>
  <si>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</si>
  <si>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</si>
  <si>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</si>
  <si>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</si>
  <si>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</si>
  <si>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</si>
  <si>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</si>
  <si>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</si>
  <si>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</si>
  <si>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</si>
  <si>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</si>
  <si>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</si>
  <si>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</si>
  <si>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</si>
  <si>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</si>
  <si>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</si>
  <si>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</si>
  <si>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</si>
  <si>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</si>
  <si>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</si>
  <si>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</si>
  <si>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</si>
  <si>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</si>
  <si>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</si>
  <si>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</si>
  <si>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</si>
  <si>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</si>
  <si>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</si>
  <si>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</si>
  <si>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</si>
  <si>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</si>
  <si>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</si>
  <si>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</si>
  <si>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</si>
  <si>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</si>
  <si>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</si>
  <si>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</si>
  <si>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</si>
  <si>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</si>
  <si>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</si>
  <si>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</si>
  <si>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</si>
  <si>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</si>
  <si>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</si>
  <si>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</si>
  <si>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</si>
  <si>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</si>
  <si>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</si>
  <si>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</si>
  <si>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</si>
  <si>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</si>
  <si>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</si>
  <si>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</si>
  <si>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</si>
  <si>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</si>
  <si>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</si>
  <si>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</si>
  <si>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</si>
  <si>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</si>
  <si>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</si>
  <si>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</si>
  <si>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</si>
  <si>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</si>
  <si>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</si>
  <si>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</si>
  <si>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</si>
  <si>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</si>
  <si>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</si>
  <si>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</si>
  <si>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</si>
  <si>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</si>
  <si>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</si>
  <si>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</si>
  <si>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</si>
  <si>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</si>
  <si>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</si>
  <si>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</si>
  <si>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</si>
  <si>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</si>
  <si>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</si>
  <si>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</si>
  <si>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</si>
  <si>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</si>
  <si>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</si>
  <si>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</si>
  <si>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</si>
  <si>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</si>
  <si>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</si>
  <si>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</si>
  <si>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</si>
  <si>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</si>
  <si>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</si>
  <si>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</si>
  <si>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</si>
  <si>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</si>
  <si>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</si>
  <si>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</si>
  <si>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</si>
  <si>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</si>
  <si>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</si>
  <si>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</si>
  <si>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</si>
  <si>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</si>
  <si>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</si>
  <si>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</si>
  <si>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</si>
  <si>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</si>
  <si>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</si>
  <si>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</si>
  <si>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</si>
  <si>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</si>
  <si>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</si>
  <si>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</si>
  <si>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</si>
  <si>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</si>
  <si>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</si>
  <si>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</si>
  <si>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</si>
  <si>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</si>
  <si>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</si>
  <si>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</si>
  <si>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</si>
  <si>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</si>
  <si>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</si>
  <si>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</si>
  <si>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</si>
  <si>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</si>
  <si>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</si>
  <si>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</si>
  <si>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</si>
  <si>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</si>
  <si>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</si>
  <si>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</si>
  <si>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</si>
  <si>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</si>
  <si>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</si>
  <si>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</si>
  <si>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</si>
  <si>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</si>
  <si>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</si>
  <si>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</si>
  <si>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</si>
  <si>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</si>
  <si>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</si>
  <si>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</si>
  <si>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</si>
  <si>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</si>
  <si>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</si>
  <si>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</si>
  <si>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</si>
  <si>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</si>
  <si>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</si>
  <si>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</si>
  <si>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</si>
  <si>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</si>
  <si>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</si>
  <si>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</si>
  <si>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</si>
  <si>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</si>
  <si>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</si>
  <si>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</si>
  <si>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</si>
  <si>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</si>
  <si>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</si>
  <si>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</si>
  <si>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</si>
  <si>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</si>
  <si>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</si>
  <si>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</si>
  <si>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</si>
  <si>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</si>
  <si>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</si>
  <si>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</si>
  <si>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</si>
  <si>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</si>
  <si>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</si>
  <si>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</si>
  <si>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</si>
  <si>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</si>
  <si>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</si>
  <si>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</si>
  <si>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</si>
  <si>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</si>
  <si>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</si>
  <si>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</si>
  <si>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</si>
  <si>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</si>
  <si>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</si>
  <si>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</si>
  <si>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</si>
  <si>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</si>
  <si>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</si>
  <si>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</si>
  <si>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</si>
  <si>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</si>
  <si>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</si>
  <si>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</si>
  <si>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</si>
  <si>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</si>
  <si>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</si>
  <si>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</si>
  <si>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</si>
  <si>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</si>
  <si>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</si>
  <si>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</si>
  <si>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</si>
  <si>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</si>
  <si>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</si>
  <si>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</si>
  <si>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</si>
  <si>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</si>
  <si>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</si>
  <si>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</si>
  <si>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</si>
  <si>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</si>
  <si>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</si>
  <si>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</si>
  <si>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</si>
  <si>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</si>
  <si>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</si>
  <si>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</si>
  <si>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</si>
  <si>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</si>
  <si>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</si>
  <si>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</si>
  <si>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</si>
  <si>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</si>
  <si>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</si>
  <si>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</si>
  <si>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</si>
  <si>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</si>
  <si>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</si>
  <si>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</si>
  <si>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</si>
  <si>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</si>
  <si>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</si>
  <si>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</si>
  <si>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</si>
  <si>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</si>
  <si>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</si>
  <si>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</si>
  <si>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</si>
  <si>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</si>
  <si>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</si>
  <si>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</si>
  <si>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</si>
  <si>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</si>
  <si>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</si>
  <si>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</si>
  <si>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</si>
  <si>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</si>
  <si>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</si>
  <si>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</si>
  <si>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</si>
  <si>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</si>
  <si>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</si>
  <si>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</si>
  <si>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</si>
  <si>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</si>
  <si>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</si>
  <si>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</si>
  <si>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</si>
  <si>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</si>
  <si>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</si>
  <si>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</si>
  <si>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</si>
  <si>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</si>
  <si>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</si>
  <si>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</si>
  <si>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</si>
  <si>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</si>
  <si>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</si>
  <si>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</si>
  <si>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</si>
  <si>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</si>
  <si>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</si>
  <si>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</si>
  <si>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</si>
  <si>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</si>
  <si>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</si>
  <si>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</si>
  <si>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</si>
  <si>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</si>
  <si>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</si>
  <si>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</si>
  <si>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</si>
  <si>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</si>
  <si>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</si>
  <si>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</si>
  <si>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</si>
  <si>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</si>
  <si>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</si>
  <si>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</si>
  <si>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</si>
  <si>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</si>
  <si>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</si>
  <si>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</si>
  <si>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</si>
  <si>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</si>
  <si>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</si>
  <si>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</si>
  <si>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</si>
  <si>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</si>
  <si>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</si>
  <si>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</si>
  <si>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</si>
  <si>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</si>
  <si>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</si>
  <si>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</si>
  <si>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</si>
  <si>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</si>
  <si>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</si>
  <si>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</si>
  <si>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</si>
  <si>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</si>
  <si>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</si>
  <si>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</si>
  <si>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</si>
  <si>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</si>
  <si>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</si>
  <si>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</si>
  <si>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</si>
  <si>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</si>
  <si>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</si>
  <si>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</si>
  <si>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</si>
  <si>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</si>
  <si>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</si>
  <si>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</si>
  <si>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</si>
  <si>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</si>
  <si>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</si>
  <si>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</si>
  <si>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</si>
  <si>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</si>
  <si>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</si>
  <si>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</si>
  <si>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</si>
  <si>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</si>
  <si>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</si>
  <si>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</si>
  <si>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</si>
  <si>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</si>
  <si>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</si>
  <si>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</si>
  <si>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</si>
  <si>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</si>
  <si>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</si>
  <si>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</si>
  <si>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</si>
  <si>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</si>
  <si>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</si>
  <si>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</si>
  <si>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</si>
  <si>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</si>
  <si>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</si>
  <si>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</si>
  <si>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</si>
  <si>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</si>
  <si>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</si>
  <si>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</si>
  <si>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</si>
  <si>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</si>
  <si>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</si>
  <si>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</si>
  <si>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</si>
  <si>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</si>
  <si>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</si>
  <si>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</si>
  <si>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</si>
  <si>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</si>
  <si>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</si>
  <si>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</si>
  <si>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</si>
  <si>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</si>
  <si>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</si>
  <si>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</si>
  <si>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</si>
  <si>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</si>
  <si>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</si>
  <si>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</si>
  <si>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</si>
  <si>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</si>
  <si>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</si>
  <si>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</si>
  <si>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</si>
  <si>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</si>
  <si>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</si>
  <si>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</si>
  <si>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</si>
  <si>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</si>
  <si>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</si>
  <si>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</si>
  <si>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</si>
  <si>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</si>
  <si>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</si>
  <si>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</si>
  <si>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</si>
  <si>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</si>
  <si>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</si>
  <si>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</si>
  <si>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</si>
  <si>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</si>
  <si>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</si>
  <si>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</si>
  <si>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</si>
  <si>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</si>
  <si>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</si>
  <si>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</si>
  <si>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</si>
  <si>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</si>
  <si>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</si>
  <si>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</si>
  <si>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</si>
  <si>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</si>
  <si>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</si>
  <si>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</si>
  <si>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</si>
  <si>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</si>
  <si>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</si>
  <si>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</si>
  <si>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</si>
  <si>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</si>
  <si>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</si>
  <si>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</si>
  <si>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</si>
  <si>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</si>
  <si>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</si>
  <si>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</si>
  <si>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</si>
  <si>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</si>
  <si>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</si>
  <si>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</si>
  <si>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</si>
  <si>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</si>
  <si>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</si>
  <si>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</si>
  <si>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</si>
  <si>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</si>
  <si>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</si>
  <si>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</si>
  <si>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</si>
  <si>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</si>
  <si>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</si>
  <si>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</si>
  <si>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</si>
  <si>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</si>
  <si>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</si>
  <si>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</si>
  <si>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</si>
  <si>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</si>
  <si>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</si>
  <si>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</si>
  <si>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</si>
  <si>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</si>
  <si>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</si>
  <si>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</si>
  <si>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</si>
  <si>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</si>
  <si>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</si>
  <si>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</si>
  <si>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</si>
  <si>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</si>
  <si>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</si>
  <si>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</si>
  <si>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</si>
  <si>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</si>
  <si>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</si>
  <si>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</si>
  <si>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</si>
  <si>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</si>
  <si>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</si>
  <si>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</si>
  <si>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</si>
  <si>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</si>
  <si>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</si>
  <si>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</si>
  <si>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</si>
  <si>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</si>
  <si>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</si>
  <si>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</si>
  <si>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</si>
  <si>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</si>
  <si>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</si>
  <si>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</si>
  <si>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</si>
  <si>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</si>
  <si>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</si>
  <si>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</si>
  <si>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</si>
  <si>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</si>
  <si>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</si>
  <si>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</si>
  <si>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</si>
  <si>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</si>
  <si>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</si>
  <si>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</si>
  <si>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</si>
  <si>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</si>
  <si>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</si>
  <si>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</si>
  <si>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</si>
  <si>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</si>
  <si>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Report 1 : Working Hours</t>
  </si>
  <si>
    <t>Total Number of woking hours of Employee</t>
  </si>
  <si>
    <t>Tariq Akhlaq</t>
  </si>
  <si>
    <t>Tasneem Khan</t>
  </si>
  <si>
    <t>Work Efficiency</t>
  </si>
  <si>
    <t>Total Attended Calls</t>
  </si>
  <si>
    <t>Report 2 : Work Efficiency</t>
  </si>
  <si>
    <t>Report 3 :Attended Calls</t>
  </si>
  <si>
    <t>Customer care Centre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</si>
</sst>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1"/>
      <color theme="0"/>
      <name val="High Tower Text"/>
      <family val="1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8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1" fontId="0" fillId="0" borderId="0" xfId="0" applyNumberFormat="1"/>
    <xf numFmtId="0" fontId="0" fillId="4" borderId="0" xfId="0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165" fontId="0" fillId="4" borderId="0" xfId="0" applyNumberFormat="1" applyFill="1"/>
    <xf numFmtId="10" fontId="0" fillId="4" borderId="0" xfId="0" applyNumberFormat="1" applyFill="1"/>
    <xf numFmtId="1" fontId="0" fillId="4" borderId="0" xfId="0" applyNumberFormat="1" applyFill="1"/>
    <xf numFmtId="0" fontId="3" fillId="4" borderId="0" xfId="0" applyFont="1" applyFill="1"/>
    <xf numFmtId="0" fontId="0" fillId="5" borderId="0" xfId="0" applyFill="1"/>
    <xf numFmtId="0" fontId="8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9" fillId="6" borderId="0" xfId="0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1"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numFmt numFmtId="14" formatCode="0.00%"/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7" tint="0.59999389629810485"/>
        </patternFill>
      </fill>
    </dxf>
  </dxfs>
  <tableStyles count="0" defaultTableStyle="TableStyleMedium2" defaultPivotStyle="PivotStyleLight16"/>
  <colors>
    <mruColors>
      <color rgb="FFFF6699"/>
      <color rgb="FFEB2D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Centre Analysis.xlsm]DASHBOARD!PivotTable1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ED7D3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12068493119666"/>
          <c:y val="0.22576959643397607"/>
          <c:w val="0.32907204367545928"/>
          <c:h val="0.59457650141177276"/>
        </c:manualLayout>
      </c:layout>
      <c:pieChart>
        <c:varyColors val="1"/>
        <c:ser>
          <c:idx val="0"/>
          <c:order val="0"/>
          <c:tx>
            <c:strRef>
              <c:f>DASHBOARD!$B$8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53-4EFE-8C9D-4290D6F059E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53-4EFE-8C9D-4290D6F059E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CDA-49A1-A6D6-B8620C4A7BB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CDA-49A1-A6D6-B8620C4A7BB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CDA-49A1-A6D6-B8620C4A7BB1}"/>
              </c:ext>
            </c:extLst>
          </c:dPt>
          <c:dLbls>
            <c:spPr>
              <a:solidFill>
                <a:srgbClr val="ED7D3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DASHBOARD!$A$9:$A$13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DASHBOARD!$B$9:$B$13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1-48C8-B862-49AB181A57E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4374385976032127E-2"/>
          <c:y val="2.5516926717740966E-2"/>
          <c:w val="0.9029728946617831"/>
          <c:h val="0.12919557980024868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Centre Analysis.xlsm]DASHBOARD!PivotTable2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0DE-4CEE-B2BA-E965CAEDB0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0DE-4CEE-B2BA-E965CAEDB0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0DE-4CEE-B2BA-E965CAEDB0B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0DE-4CEE-B2BA-E965CAEDB0B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0DE-4CEE-B2BA-E965CAEDB0BB}"/>
              </c:ext>
            </c:extLst>
          </c:dPt>
          <c:dLbls>
            <c:spPr>
              <a:solidFill>
                <a:schemeClr val="accent2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DASHBOARD!$D$9:$D$13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DASHBOARD!$E$9:$E$13</c:f>
              <c:numCache>
                <c:formatCode>0.00%</c:formatCode>
                <c:ptCount val="5"/>
                <c:pt idx="0">
                  <c:v>0.76096064814814812</c:v>
                </c:pt>
                <c:pt idx="1">
                  <c:v>0.37417824074074074</c:v>
                </c:pt>
                <c:pt idx="2">
                  <c:v>0.41770833333333335</c:v>
                </c:pt>
                <c:pt idx="3">
                  <c:v>0.62321759259259257</c:v>
                </c:pt>
                <c:pt idx="4">
                  <c:v>0.29421296296296295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7-4E36-B119-D4E51D74851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144751259672292E-2"/>
          <c:y val="1.3264831145315549E-2"/>
          <c:w val="0.8896128392400402"/>
          <c:h val="0.14757418451864926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Centre Analysis.xlsm]DASHBOARD!PivotTable3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3450549823702655"/>
          <c:y val="0.21852465129698034"/>
          <c:w val="0.3355948205550619"/>
          <c:h val="0.6952784975722659"/>
        </c:manualLayout>
      </c:layout>
      <c:pieChart>
        <c:varyColors val="1"/>
        <c:ser>
          <c:idx val="0"/>
          <c:order val="0"/>
          <c:tx>
            <c:strRef>
              <c:f>DASHBOARD!$H$8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60-4F7A-A446-170A6C2F6F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60-4F7A-A446-170A6C2F6F0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B60-4F7A-A446-170A6C2F6F0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B60-4F7A-A446-170A6C2F6F0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B60-4F7A-A446-170A6C2F6F0E}"/>
              </c:ext>
            </c:extLst>
          </c:dPt>
          <c:dLbls>
            <c:spPr>
              <a:solidFill>
                <a:schemeClr val="accent2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DASHBOARD!$G$9:$G$13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Tariq Akhlaq</c:v>
                </c:pt>
                <c:pt idx="4">
                  <c:v>Tasneem Khan</c:v>
                </c:pt>
              </c:strCache>
            </c:strRef>
          </c:cat>
          <c:val>
            <c:numRef>
              <c:f>DASHBOARD!$H$9:$H$13</c:f>
              <c:numCache>
                <c:formatCode>0</c:formatCode>
                <c:ptCount val="5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106</c:v>
                </c:pt>
                <c:pt idx="4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43-4497-BD1D-EC07A0E9358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6.7206109005837025E-2"/>
          <c:y val="3.2926199826383826E-2"/>
          <c:w val="0.84644646807270485"/>
          <c:h val="8.4737890220764694E-2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6" fmlaLink="$C$26" max="30000" min="1" page="10" val="5"/>
</file>

<file path=xl/ctrlProps/ctrlProp2.xml><?xml version="1.0" encoding="utf-8"?>
<formControlPr xmlns="http://schemas.microsoft.com/office/spreadsheetml/2009/9/main" objectType="Spin" dx="26" fmlaLink="$C$26" max="30000" min="1" page="10" val="5"/>
</file>

<file path=xl/ctrlProps/ctrlProp3.xml><?xml version="1.0" encoding="utf-8"?>
<formControlPr xmlns="http://schemas.microsoft.com/office/spreadsheetml/2009/9/main" objectType="Spin" dx="26" fmlaLink="$C$26" max="30000" min="1" page="10" val="5"/>
</file>

<file path=xl/ctrlProps/ctrlProp4.xml><?xml version="1.0" encoding="utf-8"?>
<formControlPr xmlns="http://schemas.microsoft.com/office/spreadsheetml/2009/9/main" objectType="Spin" dx="26" fmlaLink="$C$26" max="30000" min="1" page="10" val="5"/>
</file>

<file path=xl/ctrlProps/ctrlProp5.xml><?xml version="1.0" encoding="utf-8"?>
<formControlPr xmlns="http://schemas.microsoft.com/office/spreadsheetml/2009/9/main" objectType="Spin" dx="26" fmlaLink="$C$26" max="30000" min="1" page="10" val="5"/>
</file>

<file path=xl/ctrlProps/ctrlProp6.xml><?xml version="1.0" encoding="utf-8"?>
<formControlPr xmlns="http://schemas.microsoft.com/office/spreadsheetml/2009/9/main" objectType="Spin" dx="26" fmlaLink="$C$26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36974</xdr:rowOff>
    </xdr:from>
    <xdr:to>
      <xdr:col>1</xdr:col>
      <xdr:colOff>2628900</xdr:colOff>
      <xdr:row>26</xdr:row>
      <xdr:rowOff>501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9A3B80-1930-8FA7-FEE7-78C2443B4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</xdr:row>
      <xdr:rowOff>56445</xdr:rowOff>
    </xdr:from>
    <xdr:to>
      <xdr:col>0</xdr:col>
      <xdr:colOff>891822</xdr:colOff>
      <xdr:row>5</xdr:row>
      <xdr:rowOff>129823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2860C26F-EF73-9966-D470-2C3364576F5F}"/>
            </a:ext>
          </a:extLst>
        </xdr:cNvPr>
        <xdr:cNvSpPr/>
      </xdr:nvSpPr>
      <xdr:spPr>
        <a:xfrm>
          <a:off x="0" y="56445"/>
          <a:ext cx="891822" cy="256716"/>
        </a:xfrm>
        <a:prstGeom prst="rightArrow">
          <a:avLst>
            <a:gd name="adj1" fmla="val 97647"/>
            <a:gd name="adj2" fmla="val 60588"/>
          </a:avLst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bg1"/>
              </a:solidFill>
            </a:rPr>
            <a:t>Chart</a:t>
          </a:r>
        </a:p>
      </xdr:txBody>
    </xdr:sp>
    <xdr:clientData/>
  </xdr:twoCellAnchor>
  <xdr:twoCellAnchor editAs="oneCell">
    <xdr:from>
      <xdr:col>1</xdr:col>
      <xdr:colOff>177211</xdr:colOff>
      <xdr:row>4</xdr:row>
      <xdr:rowOff>47257</xdr:rowOff>
    </xdr:from>
    <xdr:to>
      <xdr:col>1</xdr:col>
      <xdr:colOff>477615</xdr:colOff>
      <xdr:row>5</xdr:row>
      <xdr:rowOff>153581</xdr:rowOff>
    </xdr:to>
    <xdr:pic macro="[0]!Show_Chart11">
      <xdr:nvPicPr>
        <xdr:cNvPr id="13" name="Picture 12" hidden="1">
          <a:extLst>
            <a:ext uri="{FF2B5EF4-FFF2-40B4-BE49-F238E27FC236}">
              <a16:creationId xmlns:a16="http://schemas.microsoft.com/office/drawing/2014/main" id="{88F7136B-399D-4AA3-B7E5-2D6E8B715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85" y="47257"/>
          <a:ext cx="300404" cy="28944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182307</xdr:colOff>
      <xdr:row>4</xdr:row>
      <xdr:rowOff>47113</xdr:rowOff>
    </xdr:from>
    <xdr:to>
      <xdr:col>1</xdr:col>
      <xdr:colOff>471448</xdr:colOff>
      <xdr:row>5</xdr:row>
      <xdr:rowOff>151996</xdr:rowOff>
    </xdr:to>
    <xdr:pic macro="[0]!Hide_Chart11">
      <xdr:nvPicPr>
        <xdr:cNvPr id="17" name="Picture 16">
          <a:extLst>
            <a:ext uri="{FF2B5EF4-FFF2-40B4-BE49-F238E27FC236}">
              <a16:creationId xmlns:a16="http://schemas.microsoft.com/office/drawing/2014/main" id="{BF8D8BD9-CF89-4604-BE41-15574EFFB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791" y="47113"/>
          <a:ext cx="289141" cy="28923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</xdr:col>
      <xdr:colOff>920750</xdr:colOff>
      <xdr:row>4</xdr:row>
      <xdr:rowOff>63500</xdr:rowOff>
    </xdr:from>
    <xdr:to>
      <xdr:col>1</xdr:col>
      <xdr:colOff>1371600</xdr:colOff>
      <xdr:row>5</xdr:row>
      <xdr:rowOff>167350</xdr:rowOff>
    </xdr:to>
    <xdr:sp macro="" textlink="$C$26">
      <xdr:nvSpPr>
        <xdr:cNvPr id="4" name="Rectangle 3">
          <a:extLst>
            <a:ext uri="{FF2B5EF4-FFF2-40B4-BE49-F238E27FC236}">
              <a16:creationId xmlns:a16="http://schemas.microsoft.com/office/drawing/2014/main" id="{53E740D0-A2E6-F23B-5499-582A0412461E}"/>
            </a:ext>
          </a:extLst>
        </xdr:cNvPr>
        <xdr:cNvSpPr/>
      </xdr:nvSpPr>
      <xdr:spPr>
        <a:xfrm>
          <a:off x="1828800" y="63500"/>
          <a:ext cx="450850" cy="288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966FC57-9110-44FC-8398-B76295FE04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960120</xdr:colOff>
          <xdr:row>4</xdr:row>
          <xdr:rowOff>91440</xdr:rowOff>
        </xdr:from>
        <xdr:to>
          <xdr:col>1</xdr:col>
          <xdr:colOff>1127760</xdr:colOff>
          <xdr:row>5</xdr:row>
          <xdr:rowOff>137160</xdr:rowOff>
        </xdr:to>
        <xdr:sp macro="" textlink="">
          <xdr:nvSpPr>
            <xdr:cNvPr id="11265" name="Spinner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1727200</xdr:colOff>
      <xdr:row>4</xdr:row>
      <xdr:rowOff>57150</xdr:rowOff>
    </xdr:from>
    <xdr:to>
      <xdr:col>1</xdr:col>
      <xdr:colOff>2620000</xdr:colOff>
      <xdr:row>5</xdr:row>
      <xdr:rowOff>132200</xdr:rowOff>
    </xdr:to>
    <xdr:sp macro="" textlink="">
      <xdr:nvSpPr>
        <xdr:cNvPr id="6" name="Arrow: Left 5">
          <a:extLst>
            <a:ext uri="{FF2B5EF4-FFF2-40B4-BE49-F238E27FC236}">
              <a16:creationId xmlns:a16="http://schemas.microsoft.com/office/drawing/2014/main" id="{30931999-4FB8-6FBF-9B8B-F2CE4485606B}"/>
            </a:ext>
          </a:extLst>
        </xdr:cNvPr>
        <xdr:cNvSpPr/>
      </xdr:nvSpPr>
      <xdr:spPr>
        <a:xfrm>
          <a:off x="2635250" y="57150"/>
          <a:ext cx="892800" cy="259200"/>
        </a:xfrm>
        <a:prstGeom prst="leftArrow">
          <a:avLst>
            <a:gd name="adj1" fmla="val 100000"/>
            <a:gd name="adj2" fmla="val 74498"/>
          </a:avLst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Records</a:t>
          </a:r>
        </a:p>
        <a:p>
          <a:pPr algn="l"/>
          <a:endParaRPr lang="en-IN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13</xdr:row>
          <xdr:rowOff>91440</xdr:rowOff>
        </xdr:from>
        <xdr:to>
          <xdr:col>1</xdr:col>
          <xdr:colOff>2529840</xdr:colOff>
          <xdr:row>14</xdr:row>
          <xdr:rowOff>137160</xdr:rowOff>
        </xdr:to>
        <xdr:sp macro="" textlink="">
          <xdr:nvSpPr>
            <xdr:cNvPr id="11266" name="Spinner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0</xdr:colOff>
      <xdr:row>4</xdr:row>
      <xdr:rowOff>56445</xdr:rowOff>
    </xdr:from>
    <xdr:to>
      <xdr:col>3</xdr:col>
      <xdr:colOff>891822</xdr:colOff>
      <xdr:row>5</xdr:row>
      <xdr:rowOff>129823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11137719-F8C0-4C65-8C6A-03D58612E49A}"/>
            </a:ext>
          </a:extLst>
        </xdr:cNvPr>
        <xdr:cNvSpPr/>
      </xdr:nvSpPr>
      <xdr:spPr>
        <a:xfrm>
          <a:off x="0" y="56445"/>
          <a:ext cx="891822" cy="257733"/>
        </a:xfrm>
        <a:prstGeom prst="rightArrow">
          <a:avLst>
            <a:gd name="adj1" fmla="val 97647"/>
            <a:gd name="adj2" fmla="val 60588"/>
          </a:avLst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bg1"/>
              </a:solidFill>
            </a:rPr>
            <a:t>Chart</a:t>
          </a:r>
        </a:p>
      </xdr:txBody>
    </xdr:sp>
    <xdr:clientData/>
  </xdr:twoCellAnchor>
  <xdr:oneCellAnchor>
    <xdr:from>
      <xdr:col>4</xdr:col>
      <xdr:colOff>168577</xdr:colOff>
      <xdr:row>4</xdr:row>
      <xdr:rowOff>60843</xdr:rowOff>
    </xdr:from>
    <xdr:ext cx="289141" cy="289238"/>
    <xdr:pic macro="[0]!Hide_Chart2">
      <xdr:nvPicPr>
        <xdr:cNvPr id="9" name="Picture 8">
          <a:extLst>
            <a:ext uri="{FF2B5EF4-FFF2-40B4-BE49-F238E27FC236}">
              <a16:creationId xmlns:a16="http://schemas.microsoft.com/office/drawing/2014/main" id="{C88B4B1F-5F32-475F-8DB4-781ED14BB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6253" y="60843"/>
          <a:ext cx="289141" cy="28923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4</xdr:col>
      <xdr:colOff>920750</xdr:colOff>
      <xdr:row>4</xdr:row>
      <xdr:rowOff>63500</xdr:rowOff>
    </xdr:from>
    <xdr:to>
      <xdr:col>4</xdr:col>
      <xdr:colOff>1371600</xdr:colOff>
      <xdr:row>5</xdr:row>
      <xdr:rowOff>167350</xdr:rowOff>
    </xdr:to>
    <xdr:sp macro="" textlink="$C$26">
      <xdr:nvSpPr>
        <xdr:cNvPr id="10" name="Rectangle 9">
          <a:extLst>
            <a:ext uri="{FF2B5EF4-FFF2-40B4-BE49-F238E27FC236}">
              <a16:creationId xmlns:a16="http://schemas.microsoft.com/office/drawing/2014/main" id="{F2939B03-1AE6-4B3C-A236-68DCEEB76B55}"/>
            </a:ext>
          </a:extLst>
        </xdr:cNvPr>
        <xdr:cNvSpPr/>
      </xdr:nvSpPr>
      <xdr:spPr>
        <a:xfrm>
          <a:off x="1830234" y="63500"/>
          <a:ext cx="450850" cy="28820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966FC57-9110-44FC-8398-B76295FE04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4</xdr:row>
          <xdr:rowOff>91440</xdr:rowOff>
        </xdr:from>
        <xdr:to>
          <xdr:col>4</xdr:col>
          <xdr:colOff>1127760</xdr:colOff>
          <xdr:row>5</xdr:row>
          <xdr:rowOff>137160</xdr:rowOff>
        </xdr:to>
        <xdr:sp macro="" textlink="">
          <xdr:nvSpPr>
            <xdr:cNvPr id="11272" name="Spinner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1727200</xdr:colOff>
      <xdr:row>4</xdr:row>
      <xdr:rowOff>57150</xdr:rowOff>
    </xdr:from>
    <xdr:to>
      <xdr:col>4</xdr:col>
      <xdr:colOff>2620000</xdr:colOff>
      <xdr:row>5</xdr:row>
      <xdr:rowOff>132200</xdr:rowOff>
    </xdr:to>
    <xdr:sp macro="" textlink="">
      <xdr:nvSpPr>
        <xdr:cNvPr id="11" name="Arrow: Left 10">
          <a:extLst>
            <a:ext uri="{FF2B5EF4-FFF2-40B4-BE49-F238E27FC236}">
              <a16:creationId xmlns:a16="http://schemas.microsoft.com/office/drawing/2014/main" id="{4957D2DF-1FC2-400C-9A54-A181100883A5}"/>
            </a:ext>
          </a:extLst>
        </xdr:cNvPr>
        <xdr:cNvSpPr/>
      </xdr:nvSpPr>
      <xdr:spPr>
        <a:xfrm>
          <a:off x="2636684" y="57150"/>
          <a:ext cx="892800" cy="259405"/>
        </a:xfrm>
        <a:prstGeom prst="leftArrow">
          <a:avLst>
            <a:gd name="adj1" fmla="val 100000"/>
            <a:gd name="adj2" fmla="val 74498"/>
          </a:avLst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Records</a:t>
          </a:r>
        </a:p>
        <a:p>
          <a:pPr algn="l"/>
          <a:endParaRPr lang="en-IN" sz="1100" b="1"/>
        </a:p>
      </xdr:txBody>
    </xdr:sp>
    <xdr:clientData/>
  </xdr:twoCellAnchor>
  <xdr:twoCellAnchor>
    <xdr:from>
      <xdr:col>3</xdr:col>
      <xdr:colOff>1</xdr:colOff>
      <xdr:row>13</xdr:row>
      <xdr:rowOff>33312</xdr:rowOff>
    </xdr:from>
    <xdr:to>
      <xdr:col>4</xdr:col>
      <xdr:colOff>2623985</xdr:colOff>
      <xdr:row>25</xdr:row>
      <xdr:rowOff>185853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0CE126-BF47-396E-2753-F1A1A0E67B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164757</xdr:colOff>
      <xdr:row>4</xdr:row>
      <xdr:rowOff>68648</xdr:rowOff>
    </xdr:from>
    <xdr:to>
      <xdr:col>4</xdr:col>
      <xdr:colOff>465161</xdr:colOff>
      <xdr:row>5</xdr:row>
      <xdr:rowOff>174972</xdr:rowOff>
    </xdr:to>
    <xdr:pic macro="[0]!Show_chart2">
      <xdr:nvPicPr>
        <xdr:cNvPr id="12" name="Picture 11" hidden="1">
          <a:extLst>
            <a:ext uri="{FF2B5EF4-FFF2-40B4-BE49-F238E27FC236}">
              <a16:creationId xmlns:a16="http://schemas.microsoft.com/office/drawing/2014/main" id="{72893B73-895C-4CE2-AFC7-EA7D9C207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2433" y="68648"/>
          <a:ext cx="300404" cy="29167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oneCellAnchor>
    <xdr:from>
      <xdr:col>6</xdr:col>
      <xdr:colOff>0</xdr:colOff>
      <xdr:row>4</xdr:row>
      <xdr:rowOff>68648</xdr:rowOff>
    </xdr:from>
    <xdr:ext cx="300404" cy="291675"/>
    <xdr:pic macro="[0]!Show_chart2">
      <xdr:nvPicPr>
        <xdr:cNvPr id="19" name="Picture 18" hidden="1">
          <a:extLst>
            <a:ext uri="{FF2B5EF4-FFF2-40B4-BE49-F238E27FC236}">
              <a16:creationId xmlns:a16="http://schemas.microsoft.com/office/drawing/2014/main" id="{64774D01-7282-482B-AA4C-EBB9E9D2A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2433" y="68648"/>
          <a:ext cx="300404" cy="29167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6</xdr:col>
      <xdr:colOff>0</xdr:colOff>
      <xdr:row>4</xdr:row>
      <xdr:rowOff>56445</xdr:rowOff>
    </xdr:from>
    <xdr:to>
      <xdr:col>6</xdr:col>
      <xdr:colOff>891822</xdr:colOff>
      <xdr:row>5</xdr:row>
      <xdr:rowOff>129823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D78ED000-ADC5-44BC-9290-8FE16F4825C7}"/>
            </a:ext>
          </a:extLst>
        </xdr:cNvPr>
        <xdr:cNvSpPr/>
      </xdr:nvSpPr>
      <xdr:spPr>
        <a:xfrm>
          <a:off x="3617784" y="56445"/>
          <a:ext cx="891822" cy="258729"/>
        </a:xfrm>
        <a:prstGeom prst="rightArrow">
          <a:avLst>
            <a:gd name="adj1" fmla="val 97647"/>
            <a:gd name="adj2" fmla="val 60588"/>
          </a:avLst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bg1"/>
              </a:solidFill>
            </a:rPr>
            <a:t>Chart</a:t>
          </a:r>
        </a:p>
      </xdr:txBody>
    </xdr:sp>
    <xdr:clientData/>
  </xdr:twoCellAnchor>
  <xdr:oneCellAnchor>
    <xdr:from>
      <xdr:col>7</xdr:col>
      <xdr:colOff>168577</xdr:colOff>
      <xdr:row>4</xdr:row>
      <xdr:rowOff>60843</xdr:rowOff>
    </xdr:from>
    <xdr:ext cx="289141" cy="289238"/>
    <xdr:pic macro="[0]!Hide_Chart2">
      <xdr:nvPicPr>
        <xdr:cNvPr id="21" name="Picture 20" hidden="1">
          <a:extLst>
            <a:ext uri="{FF2B5EF4-FFF2-40B4-BE49-F238E27FC236}">
              <a16:creationId xmlns:a16="http://schemas.microsoft.com/office/drawing/2014/main" id="{DBCE9684-C15D-456A-AE37-DADE7060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6253" y="60843"/>
          <a:ext cx="289141" cy="28923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7</xdr:col>
      <xdr:colOff>920750</xdr:colOff>
      <xdr:row>4</xdr:row>
      <xdr:rowOff>63500</xdr:rowOff>
    </xdr:from>
    <xdr:to>
      <xdr:col>7</xdr:col>
      <xdr:colOff>1371600</xdr:colOff>
      <xdr:row>5</xdr:row>
      <xdr:rowOff>167350</xdr:rowOff>
    </xdr:to>
    <xdr:sp macro="" textlink="$C$26">
      <xdr:nvSpPr>
        <xdr:cNvPr id="22" name="Rectangle 21">
          <a:extLst>
            <a:ext uri="{FF2B5EF4-FFF2-40B4-BE49-F238E27FC236}">
              <a16:creationId xmlns:a16="http://schemas.microsoft.com/office/drawing/2014/main" id="{5A565EE8-60F7-46F9-9080-74C29531475F}"/>
            </a:ext>
          </a:extLst>
        </xdr:cNvPr>
        <xdr:cNvSpPr/>
      </xdr:nvSpPr>
      <xdr:spPr>
        <a:xfrm>
          <a:off x="5458426" y="63500"/>
          <a:ext cx="450850" cy="289201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3966FC57-9110-44FC-8398-B76295FE046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5</a:t>
          </a:fld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960120</xdr:colOff>
          <xdr:row>4</xdr:row>
          <xdr:rowOff>91440</xdr:rowOff>
        </xdr:from>
        <xdr:to>
          <xdr:col>7</xdr:col>
          <xdr:colOff>1127760</xdr:colOff>
          <xdr:row>5</xdr:row>
          <xdr:rowOff>137160</xdr:rowOff>
        </xdr:to>
        <xdr:sp macro="" textlink="">
          <xdr:nvSpPr>
            <xdr:cNvPr id="11279" name="Spinner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4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1727200</xdr:colOff>
      <xdr:row>4</xdr:row>
      <xdr:rowOff>57150</xdr:rowOff>
    </xdr:from>
    <xdr:to>
      <xdr:col>7</xdr:col>
      <xdr:colOff>2620000</xdr:colOff>
      <xdr:row>5</xdr:row>
      <xdr:rowOff>132200</xdr:rowOff>
    </xdr:to>
    <xdr:sp macro="" textlink="">
      <xdr:nvSpPr>
        <xdr:cNvPr id="23" name="Arrow: Left 22">
          <a:extLst>
            <a:ext uri="{FF2B5EF4-FFF2-40B4-BE49-F238E27FC236}">
              <a16:creationId xmlns:a16="http://schemas.microsoft.com/office/drawing/2014/main" id="{6C7E7751-25D2-472B-A058-71EB5D966DFE}"/>
            </a:ext>
          </a:extLst>
        </xdr:cNvPr>
        <xdr:cNvSpPr/>
      </xdr:nvSpPr>
      <xdr:spPr>
        <a:xfrm>
          <a:off x="6264876" y="57150"/>
          <a:ext cx="892800" cy="260401"/>
        </a:xfrm>
        <a:prstGeom prst="leftArrow">
          <a:avLst>
            <a:gd name="adj1" fmla="val 100000"/>
            <a:gd name="adj2" fmla="val 74498"/>
          </a:avLst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Records</a:t>
          </a:r>
        </a:p>
        <a:p>
          <a:pPr algn="l"/>
          <a:endParaRPr lang="en-IN" sz="1100" b="1"/>
        </a:p>
      </xdr:txBody>
    </xdr:sp>
    <xdr:clientData/>
  </xdr:twoCellAnchor>
  <xdr:oneCellAnchor>
    <xdr:from>
      <xdr:col>7</xdr:col>
      <xdr:colOff>32509</xdr:colOff>
      <xdr:row>4</xdr:row>
      <xdr:rowOff>49756</xdr:rowOff>
    </xdr:from>
    <xdr:ext cx="300404" cy="291675"/>
    <xdr:pic macro="[0]!Show_chart3">
      <xdr:nvPicPr>
        <xdr:cNvPr id="24" name="Picture 23" hidden="1">
          <a:extLst>
            <a:ext uri="{FF2B5EF4-FFF2-40B4-BE49-F238E27FC236}">
              <a16:creationId xmlns:a16="http://schemas.microsoft.com/office/drawing/2014/main" id="{C23C7526-0623-4772-A5E6-B54B66C69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3435" y="49756"/>
          <a:ext cx="300404" cy="291675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5</xdr:col>
      <xdr:colOff>84667</xdr:colOff>
      <xdr:row>13</xdr:row>
      <xdr:rowOff>38338</xdr:rowOff>
    </xdr:from>
    <xdr:to>
      <xdr:col>8</xdr:col>
      <xdr:colOff>6297</xdr:colOff>
      <xdr:row>25</xdr:row>
      <xdr:rowOff>179657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2725D95A-0BCB-4595-E85A-F0ED273CE0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7</xdr:col>
      <xdr:colOff>37784</xdr:colOff>
      <xdr:row>4</xdr:row>
      <xdr:rowOff>56677</xdr:rowOff>
    </xdr:from>
    <xdr:ext cx="289141" cy="289238"/>
    <xdr:pic macro="[0]!Hide_chart3">
      <xdr:nvPicPr>
        <xdr:cNvPr id="26" name="Picture 25">
          <a:extLst>
            <a:ext uri="{FF2B5EF4-FFF2-40B4-BE49-F238E27FC236}">
              <a16:creationId xmlns:a16="http://schemas.microsoft.com/office/drawing/2014/main" id="{0C50EC5E-F93F-43DE-8923-9B3F2B57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8710" y="56677"/>
          <a:ext cx="289141" cy="28923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2385060</xdr:colOff>
          <xdr:row>13</xdr:row>
          <xdr:rowOff>91440</xdr:rowOff>
        </xdr:from>
        <xdr:to>
          <xdr:col>4</xdr:col>
          <xdr:colOff>2552700</xdr:colOff>
          <xdr:row>14</xdr:row>
          <xdr:rowOff>137160</xdr:rowOff>
        </xdr:to>
        <xdr:sp macro="" textlink="">
          <xdr:nvSpPr>
            <xdr:cNvPr id="11280" name="Spinner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4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2415540</xdr:colOff>
          <xdr:row>13</xdr:row>
          <xdr:rowOff>129540</xdr:rowOff>
        </xdr:from>
        <xdr:to>
          <xdr:col>7</xdr:col>
          <xdr:colOff>2583180</xdr:colOff>
          <xdr:row>14</xdr:row>
          <xdr:rowOff>175260</xdr:rowOff>
        </xdr:to>
        <xdr:sp macro="" textlink="">
          <xdr:nvSpPr>
            <xdr:cNvPr id="11282" name="Spinner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4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6276.664130092591" createdVersion="8" refreshedVersion="8" minRefreshableVersion="3" recordCount="149" xr:uid="{9114DF12-16B1-472E-9A94-9F0F76270E8E}">
  <cacheSource type="worksheet">
    <worksheetSource ref="A1:G150" sheet="My 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1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F2E584-763D-43EE-8D0A-22B68BB13E2F}" name="PivotTable1" cacheId="14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3">
  <location ref="A8:B13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numFmtId="1"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Total Number of woking hours of Employee" fld="2" baseField="1" baseItem="15" numFmtId="165"/>
  </dataFields>
  <formats count="20"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20">
      <pivotArea dataOnly="0" labelOnly="1" outline="0" axis="axisValues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10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0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96045-E8BD-4804-B286-F614E2A81A48}" name="PivotTable3" cacheId="14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9">
  <location ref="G8:H13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dataField="1" numFmtId="1" showAll="0"/>
    <pivotField numFmtId="9" showAll="0"/>
  </pivotFields>
  <rowFields count="1">
    <field x="1"/>
  </rowFields>
  <rowItems count="5">
    <i>
      <x v="15"/>
    </i>
    <i>
      <x v="109"/>
    </i>
    <i>
      <x v="126"/>
    </i>
    <i>
      <x v="139"/>
    </i>
    <i>
      <x v="140"/>
    </i>
  </rowItems>
  <colItems count="1">
    <i/>
  </colItems>
  <dataFields count="1">
    <dataField name="Total Attended Calls" fld="5" baseField="1" baseItem="15" numFmtId="1"/>
  </dataFields>
  <formats count="10"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30">
      <pivotArea dataOnly="0" labelOnly="1" outline="0" axis="axisValues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1" type="button" dataOnly="0" labelOnly="1" outline="0" axis="axisRow" fieldPosition="0"/>
    </format>
    <format dxfId="6">
      <pivotArea dataOnly="0" labelOnly="1" fieldPosition="0">
        <references count="1">
          <reference field="1" count="5">
            <x v="15"/>
            <x v="109"/>
            <x v="126"/>
            <x v="139"/>
            <x v="140"/>
          </reference>
        </references>
      </pivotArea>
    </format>
    <format dxfId="5">
      <pivotArea dataOnly="0" labelOnly="1" outline="0" axis="axisValues" fieldPosition="0"/>
    </format>
  </formats>
  <chartFormats count="6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EC4063-610B-4497-884F-4ECFF2E554D4}" name="PivotTable2" cacheId="14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17">
  <location ref="D8:E13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dataField="1" showAll="0"/>
    <pivotField numFmtId="165" showAll="0"/>
    <pivotField numFmtId="1"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Work Efficiency" fld="3" baseField="1" baseItem="0" numFmtId="10"/>
  </dataFields>
  <formats count="11"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1" type="button" dataOnly="0" labelOnly="1" outline="0" axis="axisRow" fieldPosition="0"/>
    </format>
    <format dxfId="37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36">
      <pivotArea dataOnly="0" labelOnly="1" outline="0" axis="axisValues" fieldPosition="0"/>
    </format>
    <format dxfId="35">
      <pivotArea outline="0" fieldPosition="0">
        <references count="1">
          <reference field="4294967294" count="1">
            <x v="0"/>
          </reference>
        </references>
      </pivotArea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5">
            <x v="15"/>
            <x v="52"/>
            <x v="85"/>
            <x v="109"/>
            <x v="126"/>
          </reference>
        </references>
      </pivotArea>
    </format>
    <format dxfId="0">
      <pivotArea dataOnly="0" labelOnly="1" outline="0" axis="axisValues" fieldPosition="0"/>
    </format>
  </formats>
  <chartFormats count="6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C7" sqref="C7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x14ac:dyDescent="0.3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3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3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3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3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3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3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3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3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3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3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3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3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3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3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3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3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3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3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3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3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3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3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3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3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3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3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3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3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3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3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3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3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3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3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3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3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3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3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3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3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3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3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3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3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3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3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3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3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3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3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3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3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3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3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3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3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3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3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3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3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3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3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3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3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3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3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3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3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3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3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3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3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3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3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3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3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3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3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3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3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3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3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3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3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3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3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3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3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3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3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3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3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3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3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3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3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3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3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3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3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3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3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3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3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3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3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3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3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3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3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3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3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3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3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3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3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3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3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3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3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3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3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3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3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3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3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3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3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3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3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3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3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3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3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3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3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3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3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3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3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3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3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3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3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3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3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3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3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E4" sqref="E4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3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3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3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3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3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3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3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3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3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3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3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3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3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3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3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3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3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3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3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3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3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3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3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3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3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3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3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3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3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3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3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3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3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3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3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3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3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3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3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3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3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3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3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3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3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3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3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3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3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3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3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3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3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3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3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3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3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3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3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3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3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3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3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3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3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3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3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3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3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3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3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3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3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3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3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3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3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3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3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3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3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3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3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3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3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3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3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3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3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3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3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3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3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3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3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3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3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3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3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3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3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3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3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3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3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3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3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3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3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3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3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3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3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3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3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3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3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3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3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3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3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3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3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3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3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3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3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3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3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3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3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3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3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3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3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3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3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3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3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3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3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3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3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3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3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3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3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3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topLeftCell="B1" zoomScale="145" zoomScaleNormal="145" workbookViewId="0">
      <selection activeCell="B4" sqref="B4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F247A-B66D-45AD-B4C5-869039C3E3F6}">
  <sheetPr codeName="Sheet6"/>
  <dimension ref="A1:G150"/>
  <sheetViews>
    <sheetView topLeftCell="E1" zoomScale="93" workbookViewId="0">
      <selection activeCell="J6" sqref="J6"/>
    </sheetView>
  </sheetViews>
  <sheetFormatPr defaultRowHeight="14.4" x14ac:dyDescent="0.3"/>
  <cols>
    <col min="1" max="1" width="32.77734375" bestFit="1" customWidth="1"/>
    <col min="2" max="7" width="25.6640625" customWidth="1"/>
    <col min="10" max="10" width="13.77734375" bestFit="1" customWidth="1"/>
    <col min="11" max="11" width="33.6640625" bestFit="1" customWidth="1"/>
  </cols>
  <sheetData>
    <row r="1" spans="1:7" ht="24.6" customHeight="1" x14ac:dyDescent="0.3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TIMEVALUE(VLOOKUP(A2,E_DATA,2,0))</f>
        <v>0.34424768518518517</v>
      </c>
      <c r="D2" s="12">
        <f t="shared" ref="D2:D33" si="1">TIMEVALUE(VLOOKUP(A2,E_DATA,3,0))</f>
        <v>0.20693287037037036</v>
      </c>
      <c r="E2" s="12">
        <f t="shared" ref="E2:E33" si="2">TIMEVALUE(VLOOKUP(A2,B_DATA,9,0))</f>
        <v>4.7708333333333332E-2</v>
      </c>
      <c r="F2" s="14">
        <f t="shared" ref="F2:F33" si="3">VLOOKUP(A2,P_DATA,2,0)</f>
        <v>98</v>
      </c>
      <c r="G2" s="13">
        <f t="shared" ref="G2:G33" si="4">VLOOKUP(A2,E_DATA,6,0)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 s="14">
        <f t="shared" si="3"/>
        <v>23</v>
      </c>
      <c r="G3" s="13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 s="14">
        <f t="shared" si="3"/>
        <v>28</v>
      </c>
      <c r="G4" s="13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 s="14">
        <f t="shared" si="3"/>
        <v>29</v>
      </c>
      <c r="G5" s="13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 s="14">
        <f t="shared" si="3"/>
        <v>93</v>
      </c>
      <c r="G6" s="13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 s="14">
        <f t="shared" si="3"/>
        <v>92</v>
      </c>
      <c r="G7" s="13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 s="14">
        <f t="shared" si="3"/>
        <v>26</v>
      </c>
      <c r="G8" s="13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 s="14">
        <f t="shared" si="3"/>
        <v>90</v>
      </c>
      <c r="G9" s="13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 s="14">
        <f t="shared" si="3"/>
        <v>89</v>
      </c>
      <c r="G10" s="13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 s="14">
        <f t="shared" si="3"/>
        <v>54</v>
      </c>
      <c r="G11" s="13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 s="14">
        <f t="shared" si="3"/>
        <v>87</v>
      </c>
      <c r="G12" s="13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 s="14">
        <f t="shared" si="3"/>
        <v>65</v>
      </c>
      <c r="G13" s="13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 s="14">
        <f t="shared" si="3"/>
        <v>85</v>
      </c>
      <c r="G14" s="13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 s="14">
        <f t="shared" si="3"/>
        <v>65</v>
      </c>
      <c r="G15" s="13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 s="14">
        <f t="shared" si="3"/>
        <v>83</v>
      </c>
      <c r="G16" s="13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 s="14">
        <f t="shared" si="3"/>
        <v>82</v>
      </c>
      <c r="G17" s="13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 s="14">
        <f t="shared" si="3"/>
        <v>81</v>
      </c>
      <c r="G18" s="13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 s="14">
        <f t="shared" si="3"/>
        <v>80</v>
      </c>
      <c r="G19" s="13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 s="14">
        <f t="shared" si="3"/>
        <v>79</v>
      </c>
      <c r="G20" s="13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 s="14">
        <f t="shared" si="3"/>
        <v>78</v>
      </c>
      <c r="G21" s="13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 s="14">
        <f t="shared" si="3"/>
        <v>77</v>
      </c>
      <c r="G22" s="13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 s="14">
        <f t="shared" si="3"/>
        <v>76</v>
      </c>
      <c r="G23" s="13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 s="14">
        <f t="shared" si="3"/>
        <v>75</v>
      </c>
      <c r="G24" s="13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 s="14">
        <f t="shared" si="3"/>
        <v>74</v>
      </c>
      <c r="G25" s="13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 s="14">
        <f t="shared" si="3"/>
        <v>73</v>
      </c>
      <c r="G26" s="13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 s="14">
        <f t="shared" si="3"/>
        <v>72</v>
      </c>
      <c r="G27" s="13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 s="14">
        <f t="shared" si="3"/>
        <v>71</v>
      </c>
      <c r="G28" s="13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 s="14">
        <f t="shared" si="3"/>
        <v>70</v>
      </c>
      <c r="G29" s="13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 s="14">
        <f t="shared" si="3"/>
        <v>69</v>
      </c>
      <c r="G30" s="13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 s="14">
        <f t="shared" si="3"/>
        <v>68</v>
      </c>
      <c r="G31" s="13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 s="14">
        <f t="shared" si="3"/>
        <v>67</v>
      </c>
      <c r="G32" s="13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 s="14">
        <f t="shared" si="3"/>
        <v>66</v>
      </c>
      <c r="G33" s="13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TIMEVALUE(VLOOKUP(A34,E_DATA,2,0))</f>
        <v>0.34664351851851855</v>
      </c>
      <c r="D34" s="12">
        <f t="shared" ref="D34:D65" si="7">TIMEVALUE(VLOOKUP(A34,E_DATA,3,0))</f>
        <v>0.20781250000000001</v>
      </c>
      <c r="E34" s="12">
        <f t="shared" ref="E34:E65" si="8">TIMEVALUE(VLOOKUP(A34,B_DATA,9,0))</f>
        <v>4.7951388888888891E-2</v>
      </c>
      <c r="F34" s="14">
        <f t="shared" ref="F34:F65" si="9">VLOOKUP(A34,P_DATA,2,0)</f>
        <v>65</v>
      </c>
      <c r="G34" s="13">
        <f t="shared" ref="G34:G65" si="10">VLOOKUP(A34,E_DATA,6,0)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 s="14">
        <f t="shared" si="9"/>
        <v>64</v>
      </c>
      <c r="G35" s="13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 s="14">
        <f t="shared" si="9"/>
        <v>63</v>
      </c>
      <c r="G36" s="13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 s="14">
        <f t="shared" si="9"/>
        <v>62</v>
      </c>
      <c r="G37" s="13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 s="14">
        <f t="shared" si="9"/>
        <v>61</v>
      </c>
      <c r="G38" s="13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 s="14">
        <f t="shared" si="9"/>
        <v>60</v>
      </c>
      <c r="G39" s="13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 s="14">
        <f t="shared" si="9"/>
        <v>59</v>
      </c>
      <c r="G40" s="13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 s="14">
        <f t="shared" si="9"/>
        <v>58</v>
      </c>
      <c r="G41" s="13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 s="14">
        <f t="shared" si="9"/>
        <v>57</v>
      </c>
      <c r="G42" s="13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 s="14">
        <f t="shared" si="9"/>
        <v>56</v>
      </c>
      <c r="G43" s="13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 s="14">
        <f t="shared" si="9"/>
        <v>55</v>
      </c>
      <c r="G44" s="13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 s="14">
        <f t="shared" si="9"/>
        <v>54</v>
      </c>
      <c r="G45" s="13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 s="14">
        <f t="shared" si="9"/>
        <v>53</v>
      </c>
      <c r="G46" s="13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 s="14">
        <f t="shared" si="9"/>
        <v>52</v>
      </c>
      <c r="G47" s="13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 s="14">
        <f t="shared" si="9"/>
        <v>51</v>
      </c>
      <c r="G48" s="13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 s="14">
        <f t="shared" si="9"/>
        <v>50</v>
      </c>
      <c r="G49" s="13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 s="14">
        <f t="shared" si="9"/>
        <v>49</v>
      </c>
      <c r="G50" s="13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 s="14">
        <f t="shared" si="9"/>
        <v>48</v>
      </c>
      <c r="G51" s="13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 s="14">
        <f t="shared" si="9"/>
        <v>47</v>
      </c>
      <c r="G52" s="13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 s="14">
        <f t="shared" si="9"/>
        <v>46</v>
      </c>
      <c r="G53" s="13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 s="14">
        <f t="shared" si="9"/>
        <v>45</v>
      </c>
      <c r="G54" s="13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 s="14">
        <f t="shared" si="9"/>
        <v>44</v>
      </c>
      <c r="G55" s="13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 s="14">
        <f t="shared" si="9"/>
        <v>43</v>
      </c>
      <c r="G56" s="13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 s="14">
        <f t="shared" si="9"/>
        <v>42</v>
      </c>
      <c r="G57" s="13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 s="14">
        <f t="shared" si="9"/>
        <v>41</v>
      </c>
      <c r="G58" s="13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 s="14">
        <f t="shared" si="9"/>
        <v>40</v>
      </c>
      <c r="G59" s="13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 s="14">
        <f t="shared" si="9"/>
        <v>39</v>
      </c>
      <c r="G60" s="13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 s="14">
        <f t="shared" si="9"/>
        <v>38</v>
      </c>
      <c r="G61" s="13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 s="14">
        <f t="shared" si="9"/>
        <v>37</v>
      </c>
      <c r="G62" s="13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 s="14">
        <f t="shared" si="9"/>
        <v>36</v>
      </c>
      <c r="G63" s="13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 s="14">
        <f t="shared" si="9"/>
        <v>35</v>
      </c>
      <c r="G64" s="13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 s="14">
        <f t="shared" si="9"/>
        <v>34</v>
      </c>
      <c r="G65" s="13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TIMEVALUE(VLOOKUP(A66,E_DATA,2,0))</f>
        <v>0.20910879629629631</v>
      </c>
      <c r="D66" s="12">
        <f t="shared" ref="D66:D97" si="12">TIMEVALUE(VLOOKUP(A66,E_DATA,3,0))</f>
        <v>0.13449074074074074</v>
      </c>
      <c r="E66" s="12">
        <f t="shared" ref="E66:E97" si="13">TIMEVALUE(VLOOKUP(A66,B_DATA,9,0))</f>
        <v>2.0532407407407409E-2</v>
      </c>
      <c r="F66" s="14">
        <f t="shared" ref="F66:F97" si="14">VLOOKUP(A66,P_DATA,2,0)</f>
        <v>33</v>
      </c>
      <c r="G66" s="13">
        <f t="shared" ref="G66:G97" si="15">VLOOKUP(A66,E_DATA,6,0)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 s="14">
        <f t="shared" si="14"/>
        <v>32</v>
      </c>
      <c r="G67" s="13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 s="14">
        <f t="shared" si="14"/>
        <v>31</v>
      </c>
      <c r="G68" s="13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 s="14">
        <f t="shared" si="14"/>
        <v>30</v>
      </c>
      <c r="G69" s="13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 s="14">
        <f t="shared" si="14"/>
        <v>29</v>
      </c>
      <c r="G70" s="13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 s="14">
        <f t="shared" si="14"/>
        <v>28</v>
      </c>
      <c r="G71" s="13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 s="14">
        <f t="shared" si="14"/>
        <v>29</v>
      </c>
      <c r="G72" s="13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 s="14">
        <f t="shared" si="14"/>
        <v>30</v>
      </c>
      <c r="G73" s="13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 s="14">
        <f t="shared" si="14"/>
        <v>31</v>
      </c>
      <c r="G74" s="13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 s="14">
        <f t="shared" si="14"/>
        <v>32</v>
      </c>
      <c r="G75" s="13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 s="14">
        <f t="shared" si="14"/>
        <v>33</v>
      </c>
      <c r="G76" s="13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 s="14">
        <f t="shared" si="14"/>
        <v>34</v>
      </c>
      <c r="G77" s="13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 s="14">
        <f t="shared" si="14"/>
        <v>35</v>
      </c>
      <c r="G78" s="13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 s="14">
        <f t="shared" si="14"/>
        <v>36</v>
      </c>
      <c r="G79" s="13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 s="14">
        <f t="shared" si="14"/>
        <v>37</v>
      </c>
      <c r="G80" s="13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 s="14">
        <f t="shared" si="14"/>
        <v>38</v>
      </c>
      <c r="G81" s="13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 s="14">
        <f t="shared" si="14"/>
        <v>39</v>
      </c>
      <c r="G82" s="13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 s="14">
        <f t="shared" si="14"/>
        <v>40</v>
      </c>
      <c r="G83" s="13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 s="14">
        <f t="shared" si="14"/>
        <v>41</v>
      </c>
      <c r="G84" s="13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 s="14">
        <f t="shared" si="14"/>
        <v>42</v>
      </c>
      <c r="G85" s="13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 s="14">
        <f t="shared" si="14"/>
        <v>43</v>
      </c>
      <c r="G86" s="13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 s="14">
        <f t="shared" si="14"/>
        <v>44</v>
      </c>
      <c r="G87" s="13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 s="14">
        <f t="shared" si="14"/>
        <v>45</v>
      </c>
      <c r="G88" s="13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 s="14">
        <f t="shared" si="14"/>
        <v>46</v>
      </c>
      <c r="G89" s="13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 s="14">
        <f t="shared" si="14"/>
        <v>47</v>
      </c>
      <c r="G90" s="13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 s="14">
        <f t="shared" si="14"/>
        <v>48</v>
      </c>
      <c r="G91" s="13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 s="14">
        <f t="shared" si="14"/>
        <v>49</v>
      </c>
      <c r="G92" s="13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 s="14">
        <f t="shared" si="14"/>
        <v>50</v>
      </c>
      <c r="G93" s="13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 s="14">
        <f t="shared" si="14"/>
        <v>51</v>
      </c>
      <c r="G94" s="13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 s="14">
        <f t="shared" si="14"/>
        <v>52</v>
      </c>
      <c r="G95" s="13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 s="14">
        <f t="shared" si="14"/>
        <v>53</v>
      </c>
      <c r="G96" s="13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 s="14">
        <f t="shared" si="14"/>
        <v>54</v>
      </c>
      <c r="G97" s="13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TIMEVALUE(VLOOKUP(A98,E_DATA,2,0))</f>
        <v>0.33483796296296298</v>
      </c>
      <c r="D98" s="12">
        <f t="shared" ref="D98:D129" si="18">TIMEVALUE(VLOOKUP(A98,E_DATA,3,0))</f>
        <v>6.6759259259259254E-2</v>
      </c>
      <c r="E98" s="12">
        <f t="shared" ref="E98:E129" si="19">TIMEVALUE(VLOOKUP(A98,B_DATA,9,0))</f>
        <v>0.23973379629629629</v>
      </c>
      <c r="F98" s="14">
        <f t="shared" ref="F98:F129" si="20">VLOOKUP(A98,P_DATA,2,0)</f>
        <v>55</v>
      </c>
      <c r="G98" s="13">
        <f t="shared" ref="G98:G129" si="21">VLOOKUP(A98,E_DATA,6,0)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 s="14">
        <f t="shared" si="20"/>
        <v>56</v>
      </c>
      <c r="G99" s="13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 s="14">
        <f t="shared" si="20"/>
        <v>57</v>
      </c>
      <c r="G100" s="13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 s="14">
        <f t="shared" si="20"/>
        <v>58</v>
      </c>
      <c r="G101" s="13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 s="14">
        <f t="shared" si="20"/>
        <v>59</v>
      </c>
      <c r="G102" s="13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 s="14">
        <f t="shared" si="20"/>
        <v>60</v>
      </c>
      <c r="G103" s="13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 s="14">
        <f t="shared" si="20"/>
        <v>61</v>
      </c>
      <c r="G104" s="13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 s="14">
        <f t="shared" si="20"/>
        <v>62</v>
      </c>
      <c r="G105" s="13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 s="14">
        <f t="shared" si="20"/>
        <v>63</v>
      </c>
      <c r="G106" s="13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 s="14">
        <f t="shared" si="20"/>
        <v>64</v>
      </c>
      <c r="G107" s="13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 s="14">
        <f t="shared" si="20"/>
        <v>65</v>
      </c>
      <c r="G108" s="13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 s="14">
        <f t="shared" si="20"/>
        <v>66</v>
      </c>
      <c r="G109" s="13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 s="14">
        <f t="shared" si="20"/>
        <v>67</v>
      </c>
      <c r="G110" s="13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 s="14">
        <f t="shared" si="20"/>
        <v>68</v>
      </c>
      <c r="G111" s="13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 s="14">
        <f t="shared" si="20"/>
        <v>69</v>
      </c>
      <c r="G112" s="13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 s="14">
        <f t="shared" si="20"/>
        <v>70</v>
      </c>
      <c r="G113" s="13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 s="14">
        <f t="shared" si="20"/>
        <v>71</v>
      </c>
      <c r="G114" s="13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 s="14">
        <f t="shared" si="20"/>
        <v>72</v>
      </c>
      <c r="G115" s="13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 s="14">
        <f t="shared" si="20"/>
        <v>73</v>
      </c>
      <c r="G116" s="13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 s="14">
        <f t="shared" si="20"/>
        <v>74</v>
      </c>
      <c r="G117" s="13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 s="14">
        <f t="shared" si="20"/>
        <v>75</v>
      </c>
      <c r="G118" s="13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 s="14">
        <f t="shared" si="20"/>
        <v>76</v>
      </c>
      <c r="G119" s="13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 s="14">
        <f t="shared" si="20"/>
        <v>77</v>
      </c>
      <c r="G120" s="13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 s="14">
        <f t="shared" si="20"/>
        <v>78</v>
      </c>
      <c r="G121" s="13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 s="14">
        <f t="shared" si="20"/>
        <v>79</v>
      </c>
      <c r="G122" s="13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 s="14">
        <f t="shared" si="20"/>
        <v>80</v>
      </c>
      <c r="G123" s="13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 s="14">
        <f t="shared" si="20"/>
        <v>81</v>
      </c>
      <c r="G124" s="13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 s="14">
        <f t="shared" si="20"/>
        <v>82</v>
      </c>
      <c r="G125" s="13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 s="14">
        <f t="shared" si="20"/>
        <v>83</v>
      </c>
      <c r="G126" s="13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 s="14">
        <f t="shared" si="20"/>
        <v>84</v>
      </c>
      <c r="G127" s="13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 s="14">
        <f t="shared" si="20"/>
        <v>85</v>
      </c>
      <c r="G128" s="13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 s="14">
        <f t="shared" si="20"/>
        <v>86</v>
      </c>
      <c r="G129" s="13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TIMEVALUE(VLOOKUP(A130,E_DATA,2,0))</f>
        <v>0.34416666666666668</v>
      </c>
      <c r="D130" s="12">
        <f t="shared" ref="D130:D150" si="23">TIMEVALUE(VLOOKUP(A130,E_DATA,3,0))</f>
        <v>0.12054398148148149</v>
      </c>
      <c r="E130" s="12">
        <f t="shared" ref="E130:E150" si="24">TIMEVALUE(VLOOKUP(A130,B_DATA,9,0))</f>
        <v>0.19140046296296295</v>
      </c>
      <c r="F130" s="14">
        <f t="shared" ref="F130:F150" si="25">VLOOKUP(A130,P_DATA,2,0)</f>
        <v>87</v>
      </c>
      <c r="G130" s="13">
        <f t="shared" ref="G130:G150" si="26">VLOOKUP(A130,E_DATA,6,0)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 s="14">
        <f t="shared" si="25"/>
        <v>88</v>
      </c>
      <c r="G131" s="13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 s="14">
        <f t="shared" si="25"/>
        <v>89</v>
      </c>
      <c r="G132" s="13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 s="14">
        <f t="shared" si="25"/>
        <v>90</v>
      </c>
      <c r="G133" s="13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 s="14">
        <f t="shared" si="25"/>
        <v>91</v>
      </c>
      <c r="G134" s="13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 s="14">
        <f t="shared" si="25"/>
        <v>92</v>
      </c>
      <c r="G135" s="13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 s="14">
        <f t="shared" si="25"/>
        <v>93</v>
      </c>
      <c r="G136" s="13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 s="14">
        <f t="shared" si="25"/>
        <v>94</v>
      </c>
      <c r="G137" s="13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 s="14">
        <f t="shared" si="25"/>
        <v>95</v>
      </c>
      <c r="G138" s="13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 s="14">
        <f t="shared" si="25"/>
        <v>96</v>
      </c>
      <c r="G139" s="13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 s="14">
        <f t="shared" si="25"/>
        <v>97</v>
      </c>
      <c r="G140" s="13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 s="14">
        <f t="shared" si="25"/>
        <v>98</v>
      </c>
      <c r="G141" s="13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 s="14">
        <f t="shared" si="25"/>
        <v>99</v>
      </c>
      <c r="G142" s="13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 s="14">
        <f t="shared" si="25"/>
        <v>100</v>
      </c>
      <c r="G143" s="13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 s="14">
        <f t="shared" si="25"/>
        <v>101</v>
      </c>
      <c r="G144" s="13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 s="14">
        <f t="shared" si="25"/>
        <v>102</v>
      </c>
      <c r="G145" s="13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 s="14">
        <f t="shared" si="25"/>
        <v>103</v>
      </c>
      <c r="G146" s="13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 s="14">
        <f t="shared" si="25"/>
        <v>104</v>
      </c>
      <c r="G147" s="13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 s="14">
        <f t="shared" si="25"/>
        <v>105</v>
      </c>
      <c r="G148" s="13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 s="14">
        <f t="shared" si="25"/>
        <v>106</v>
      </c>
      <c r="G149" s="13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 s="14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B03DF-6A36-4BBD-9C5B-4F6B48B096EA}">
  <sheetPr codeName="Sheet7"/>
  <dimension ref="A1:H26"/>
  <sheetViews>
    <sheetView tabSelected="1" zoomScale="69" zoomScaleNormal="111" workbookViewId="0">
      <selection activeCell="L6" sqref="L6"/>
    </sheetView>
  </sheetViews>
  <sheetFormatPr defaultRowHeight="14.4" x14ac:dyDescent="0.3"/>
  <cols>
    <col min="1" max="1" width="13.21875" bestFit="1" customWidth="1"/>
    <col min="2" max="2" width="38.44140625" bestFit="1" customWidth="1"/>
    <col min="3" max="3" width="1.109375" customWidth="1"/>
    <col min="4" max="4" width="13.44140625" bestFit="1" customWidth="1"/>
    <col min="5" max="5" width="38.33203125" customWidth="1"/>
    <col min="6" max="6" width="1.33203125" customWidth="1"/>
    <col min="7" max="7" width="19.109375" customWidth="1"/>
    <col min="8" max="8" width="38.33203125" customWidth="1"/>
  </cols>
  <sheetData>
    <row r="1" spans="1:8" x14ac:dyDescent="0.3">
      <c r="A1" s="25" t="s">
        <v>1017</v>
      </c>
      <c r="B1" s="26"/>
      <c r="C1" s="26"/>
      <c r="D1" s="26"/>
      <c r="E1" s="26"/>
      <c r="F1" s="26"/>
      <c r="G1" s="26"/>
      <c r="H1" s="26"/>
    </row>
    <row r="2" spans="1:8" x14ac:dyDescent="0.3">
      <c r="A2" s="26"/>
      <c r="B2" s="26"/>
      <c r="C2" s="26"/>
      <c r="D2" s="26"/>
      <c r="E2" s="26"/>
      <c r="F2" s="26"/>
      <c r="G2" s="26"/>
      <c r="H2" s="26"/>
    </row>
    <row r="3" spans="1:8" x14ac:dyDescent="0.3">
      <c r="A3" s="26"/>
      <c r="B3" s="26"/>
      <c r="C3" s="26"/>
      <c r="D3" s="26"/>
      <c r="E3" s="26"/>
      <c r="F3" s="26"/>
      <c r="G3" s="26"/>
      <c r="H3" s="26"/>
    </row>
    <row r="4" spans="1:8" x14ac:dyDescent="0.3">
      <c r="A4" s="27"/>
      <c r="B4" s="27"/>
      <c r="C4" s="27"/>
      <c r="D4" s="27"/>
      <c r="E4" s="27"/>
      <c r="F4" s="27"/>
      <c r="G4" s="27"/>
      <c r="H4" s="27"/>
    </row>
    <row r="5" spans="1:8" x14ac:dyDescent="0.3">
      <c r="A5" s="15"/>
      <c r="B5" s="15"/>
      <c r="C5" s="16"/>
      <c r="D5" s="15"/>
      <c r="E5" s="15"/>
      <c r="F5" s="16"/>
      <c r="G5" s="15"/>
      <c r="H5" s="15"/>
    </row>
    <row r="6" spans="1:8" x14ac:dyDescent="0.3">
      <c r="A6" s="15"/>
      <c r="B6" s="15"/>
      <c r="C6" s="16"/>
      <c r="D6" s="15"/>
      <c r="E6" s="15"/>
      <c r="F6" s="16"/>
      <c r="G6" s="15"/>
      <c r="H6" s="15"/>
    </row>
    <row r="7" spans="1:8" x14ac:dyDescent="0.3">
      <c r="A7" s="23" t="s">
        <v>1009</v>
      </c>
      <c r="B7" s="24"/>
      <c r="C7" s="22"/>
      <c r="D7" s="23" t="s">
        <v>1015</v>
      </c>
      <c r="E7" s="24"/>
      <c r="F7" s="22"/>
      <c r="G7" s="23" t="s">
        <v>1016</v>
      </c>
      <c r="H7" s="24"/>
    </row>
    <row r="8" spans="1:8" x14ac:dyDescent="0.3">
      <c r="A8" s="16" t="s">
        <v>1003</v>
      </c>
      <c r="B8" s="16" t="s">
        <v>1010</v>
      </c>
      <c r="C8" s="16"/>
      <c r="D8" s="16" t="s">
        <v>1003</v>
      </c>
      <c r="E8" s="16" t="s">
        <v>1013</v>
      </c>
      <c r="F8" s="16"/>
      <c r="G8" s="16" t="s">
        <v>1003</v>
      </c>
      <c r="H8" s="16" t="s">
        <v>1014</v>
      </c>
    </row>
    <row r="9" spans="1:8" x14ac:dyDescent="0.3">
      <c r="A9" s="17" t="s">
        <v>1004</v>
      </c>
      <c r="B9" s="18">
        <v>1.3668402777777779</v>
      </c>
      <c r="C9" s="16"/>
      <c r="D9" s="17" t="s">
        <v>1004</v>
      </c>
      <c r="E9" s="19">
        <v>0.76096064814814812</v>
      </c>
      <c r="F9" s="16"/>
      <c r="G9" s="17" t="s">
        <v>1004</v>
      </c>
      <c r="H9" s="20">
        <v>322</v>
      </c>
    </row>
    <row r="10" spans="1:8" x14ac:dyDescent="0.3">
      <c r="A10" s="17" t="s">
        <v>1005</v>
      </c>
      <c r="B10" s="18">
        <v>0.66396990740740747</v>
      </c>
      <c r="C10" s="16"/>
      <c r="D10" s="17" t="s">
        <v>1005</v>
      </c>
      <c r="E10" s="19">
        <v>0.37417824074074074</v>
      </c>
      <c r="F10" s="16"/>
      <c r="G10" s="17" t="s">
        <v>1007</v>
      </c>
      <c r="H10" s="20">
        <v>222</v>
      </c>
    </row>
    <row r="11" spans="1:8" x14ac:dyDescent="0.3">
      <c r="A11" s="17" t="s">
        <v>1006</v>
      </c>
      <c r="B11" s="18">
        <v>0.67937500000000006</v>
      </c>
      <c r="C11" s="16"/>
      <c r="D11" s="17" t="s">
        <v>1006</v>
      </c>
      <c r="E11" s="19">
        <v>0.41770833333333335</v>
      </c>
      <c r="F11" s="16"/>
      <c r="G11" s="17" t="s">
        <v>1008</v>
      </c>
      <c r="H11" s="20">
        <v>185</v>
      </c>
    </row>
    <row r="12" spans="1:8" x14ac:dyDescent="0.3">
      <c r="A12" s="17" t="s">
        <v>1007</v>
      </c>
      <c r="B12" s="18">
        <v>1.0142939814814815</v>
      </c>
      <c r="C12" s="16"/>
      <c r="D12" s="17" t="s">
        <v>1007</v>
      </c>
      <c r="E12" s="19">
        <v>0.62321759259259257</v>
      </c>
      <c r="F12" s="16"/>
      <c r="G12" s="17" t="s">
        <v>1011</v>
      </c>
      <c r="H12" s="20">
        <v>106</v>
      </c>
    </row>
    <row r="13" spans="1:8" x14ac:dyDescent="0.3">
      <c r="A13" s="17" t="s">
        <v>1008</v>
      </c>
      <c r="B13" s="18">
        <v>0.67259259259259263</v>
      </c>
      <c r="C13" s="16"/>
      <c r="D13" s="17" t="s">
        <v>1008</v>
      </c>
      <c r="E13" s="19">
        <v>0.29421296296296295</v>
      </c>
      <c r="F13" s="16"/>
      <c r="G13" s="17" t="s">
        <v>1012</v>
      </c>
      <c r="H13" s="20">
        <v>107</v>
      </c>
    </row>
    <row r="14" spans="1:8" x14ac:dyDescent="0.3">
      <c r="A14" s="16"/>
      <c r="B14" s="16"/>
      <c r="C14" s="16"/>
      <c r="D14" s="16"/>
      <c r="E14" s="16"/>
      <c r="F14" s="16"/>
      <c r="G14" s="16"/>
      <c r="H14" s="16"/>
    </row>
    <row r="15" spans="1:8" x14ac:dyDescent="0.3">
      <c r="A15" s="16"/>
      <c r="B15" s="16"/>
      <c r="C15" s="16"/>
      <c r="D15" s="16"/>
      <c r="E15" s="16"/>
      <c r="F15" s="16"/>
      <c r="G15" s="16"/>
      <c r="H15" s="16"/>
    </row>
    <row r="16" spans="1:8" x14ac:dyDescent="0.3">
      <c r="A16" s="16"/>
      <c r="B16" s="16"/>
      <c r="C16" s="16"/>
      <c r="D16" s="16"/>
      <c r="E16" s="16"/>
      <c r="F16" s="16"/>
      <c r="G16" s="16"/>
      <c r="H16" s="16"/>
    </row>
    <row r="17" spans="1:8" x14ac:dyDescent="0.3">
      <c r="A17" s="16"/>
      <c r="B17" s="16"/>
      <c r="C17" s="16"/>
      <c r="D17" s="16"/>
      <c r="E17" s="16"/>
      <c r="F17" s="16"/>
      <c r="G17" s="16"/>
      <c r="H17" s="16"/>
    </row>
    <row r="18" spans="1:8" x14ac:dyDescent="0.3">
      <c r="A18" s="16"/>
      <c r="B18" s="16"/>
      <c r="C18" s="16"/>
      <c r="D18" s="16"/>
      <c r="E18" s="16"/>
      <c r="F18" s="16"/>
      <c r="G18" s="16"/>
      <c r="H18" s="16"/>
    </row>
    <row r="19" spans="1:8" x14ac:dyDescent="0.3">
      <c r="A19" s="16"/>
      <c r="B19" s="16"/>
      <c r="C19" s="16"/>
      <c r="D19" s="16"/>
      <c r="E19" s="16"/>
      <c r="F19" s="16"/>
      <c r="G19" s="16"/>
      <c r="H19" s="16"/>
    </row>
    <row r="20" spans="1:8" x14ac:dyDescent="0.3">
      <c r="A20" s="16"/>
      <c r="B20" s="16"/>
      <c r="C20" s="16"/>
      <c r="D20" s="16"/>
      <c r="E20" s="16"/>
      <c r="F20" s="16"/>
      <c r="G20" s="16"/>
      <c r="H20" s="16"/>
    </row>
    <row r="21" spans="1:8" x14ac:dyDescent="0.3">
      <c r="A21" s="16"/>
      <c r="B21" s="16"/>
      <c r="C21" s="16"/>
      <c r="D21" s="16"/>
      <c r="E21" s="16"/>
      <c r="F21" s="16"/>
      <c r="G21" s="16"/>
      <c r="H21" s="16"/>
    </row>
    <row r="22" spans="1:8" x14ac:dyDescent="0.3">
      <c r="A22" s="16"/>
      <c r="B22" s="16"/>
      <c r="C22" s="16"/>
      <c r="D22" s="16"/>
      <c r="E22" s="16"/>
      <c r="F22" s="16"/>
      <c r="G22" s="16"/>
      <c r="H22" s="16"/>
    </row>
    <row r="23" spans="1:8" x14ac:dyDescent="0.3">
      <c r="A23" s="16"/>
      <c r="B23" s="16"/>
      <c r="C23" s="16"/>
      <c r="D23" s="16"/>
      <c r="E23" s="16"/>
      <c r="F23" s="16"/>
      <c r="G23" s="16"/>
      <c r="H23" s="16"/>
    </row>
    <row r="24" spans="1:8" x14ac:dyDescent="0.3">
      <c r="A24" s="16"/>
      <c r="B24" s="16"/>
      <c r="C24" s="16"/>
      <c r="D24" s="16"/>
      <c r="E24" s="16"/>
      <c r="F24" s="16"/>
      <c r="G24" s="16"/>
      <c r="H24" s="16"/>
    </row>
    <row r="25" spans="1:8" x14ac:dyDescent="0.3">
      <c r="A25" s="16"/>
      <c r="B25" s="16"/>
      <c r="C25" s="16"/>
      <c r="D25" s="16"/>
      <c r="E25" s="16"/>
      <c r="F25" s="16"/>
      <c r="G25" s="16"/>
      <c r="H25" s="16"/>
    </row>
    <row r="26" spans="1:8" x14ac:dyDescent="0.3">
      <c r="A26" s="16"/>
      <c r="B26" s="16"/>
      <c r="C26" s="21">
        <v>5</v>
      </c>
      <c r="D26" s="16"/>
      <c r="E26" s="16"/>
      <c r="F26" s="16"/>
      <c r="G26" s="16"/>
      <c r="H26" s="16"/>
    </row>
  </sheetData>
  <mergeCells count="1">
    <mergeCell ref="A1:H4"/>
  </mergeCell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7" name="Spinner 1">
              <controlPr defaultSize="0" autoPict="0" macro="[0]!Spinner_1">
                <anchor moveWithCells="1" sizeWithCells="1">
                  <from>
                    <xdr:col>1</xdr:col>
                    <xdr:colOff>960120</xdr:colOff>
                    <xdr:row>4</xdr:row>
                    <xdr:rowOff>91440</xdr:rowOff>
                  </from>
                  <to>
                    <xdr:col>1</xdr:col>
                    <xdr:colOff>1127760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8" name="Spinner 2">
              <controlPr defaultSize="0" autoPict="0" macro="[0]!Spinner_1">
                <anchor moveWithCells="1" sizeWithCells="1">
                  <from>
                    <xdr:col>1</xdr:col>
                    <xdr:colOff>2362200</xdr:colOff>
                    <xdr:row>13</xdr:row>
                    <xdr:rowOff>91440</xdr:rowOff>
                  </from>
                  <to>
                    <xdr:col>1</xdr:col>
                    <xdr:colOff>2529840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Spinner 8">
              <controlPr defaultSize="0" autoPict="0" macro="[0]!Spinner_2">
                <anchor moveWithCells="1" sizeWithCells="1">
                  <from>
                    <xdr:col>4</xdr:col>
                    <xdr:colOff>960120</xdr:colOff>
                    <xdr:row>4</xdr:row>
                    <xdr:rowOff>91440</xdr:rowOff>
                  </from>
                  <to>
                    <xdr:col>4</xdr:col>
                    <xdr:colOff>1127760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Spinner 15">
              <controlPr defaultSize="0" autoPict="0" macro="[0]!Spinner_3">
                <anchor moveWithCells="1" sizeWithCells="1">
                  <from>
                    <xdr:col>7</xdr:col>
                    <xdr:colOff>960120</xdr:colOff>
                    <xdr:row>4</xdr:row>
                    <xdr:rowOff>91440</xdr:rowOff>
                  </from>
                  <to>
                    <xdr:col>7</xdr:col>
                    <xdr:colOff>1127760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Spinner 16">
              <controlPr defaultSize="0" autoPict="0" macro="[0]!Spinner_2">
                <anchor moveWithCells="1" sizeWithCells="1">
                  <from>
                    <xdr:col>4</xdr:col>
                    <xdr:colOff>2385060</xdr:colOff>
                    <xdr:row>13</xdr:row>
                    <xdr:rowOff>91440</xdr:rowOff>
                  </from>
                  <to>
                    <xdr:col>4</xdr:col>
                    <xdr:colOff>2552700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2" name="Spinner 18">
              <controlPr defaultSize="0" autoPict="0" macro="[0]!Spinner_3">
                <anchor moveWithCells="1" sizeWithCells="1">
                  <from>
                    <xdr:col>7</xdr:col>
                    <xdr:colOff>2415540</xdr:colOff>
                    <xdr:row>13</xdr:row>
                    <xdr:rowOff>129540</xdr:rowOff>
                  </from>
                  <to>
                    <xdr:col>7</xdr:col>
                    <xdr:colOff>2583180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My Summary</vt:lpstr>
      <vt:lpstr>DASHBOARD</vt:lpstr>
      <vt:lpstr>B_DATA</vt:lpstr>
      <vt:lpstr>E_DATA</vt:lpstr>
      <vt:lpstr>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Ashutosh Purkar</cp:lastModifiedBy>
  <dcterms:created xsi:type="dcterms:W3CDTF">2022-05-04T01:32:35Z</dcterms:created>
  <dcterms:modified xsi:type="dcterms:W3CDTF">2026-09-16T07:11:29Z</dcterms:modified>
</cp:coreProperties>
</file>