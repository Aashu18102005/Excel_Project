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aee01ed9214626c/Dokumen/Data Analytics/Excel/Project/"/>
    </mc:Choice>
  </mc:AlternateContent>
  <xr:revisionPtr revIDLastSave="4" documentId="13_ncr:1_{7235CBDF-FDB8-42C0-828E-167B75ABD1CF}" xr6:coauthVersionLast="47" xr6:coauthVersionMax="47" xr10:uidLastSave="{A8E1814A-4318-4337-A91D-E265C8DCF3A2}"/>
  <bookViews>
    <workbookView xWindow="-108" yWindow="-108" windowWidth="23256" windowHeight="12456" activeTab="1" xr2:uid="{AD7BE677-B2C0-4420-A447-EA5E2352907B}"/>
  </bookViews>
  <sheets>
    <sheet name="Sheet1" sheetId="6" r:id="rId1"/>
    <sheet name="Pivot Report" sheetId="1" r:id="rId2"/>
    <sheet name="Dashboard" sheetId="2" r:id="rId3"/>
    <sheet name="Daily ER No of patient" sheetId="3" r:id="rId4"/>
    <sheet name="Avg.Patient WaitTime" sheetId="5" r:id="rId5"/>
    <sheet name="Avg.Patient Satisfaction Score" sheetId="4" r:id="rId6"/>
  </sheets>
  <definedNames>
    <definedName name="ExternalData_1" localSheetId="0" hidden="1">Sheet1!$A$3:$M$611</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6bc770f-0355-4cad-b0de-6bce601baf3e" name="Hospital Emergency Room Data" connection="Query - Hospital Emergency Room Data"/>
          <x15:modelTable id="Calendar_Table_ec7852b2-3d77-4e97-a2b7-1d446eca05f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1" i="1" l="1"/>
  <c r="A50" i="1"/>
  <c r="B50" i="1"/>
  <c r="C50" i="1"/>
  <c r="B51" i="1"/>
  <c r="C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3AAED4-9F61-4055-8B17-67633E7EA371}" keepAlive="1" name="ModelConnection_ExternalData_1" description="Data Model" type="5" refreshedVersion="8" minRefreshableVersion="5" saveData="1">
    <dbPr connection="Data Model Connection" command="DRILLTHROUGH MAXROWS 1000 SELECT FROM [Model] WHERE (([Calendar_Table].[Date (Month)].&amp;[Jun],[Measures].[Count of Patient Id],[Hospital Emergency Room Data].[Patient Attend Status].&amp;[Delay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89C63DE1-34A3-404E-A5F7-9F9DCA42B791}" name="Query - Calendar_Table" description="Connection to the 'Calendar_Table' query in the workbook." type="100" refreshedVersion="8" minRefreshableVersion="5">
    <extLst>
      <ext xmlns:x15="http://schemas.microsoft.com/office/spreadsheetml/2010/11/main" uri="{DE250136-89BD-433C-8126-D09CA5730AF9}">
        <x15:connection id="9319e160-0e9d-43f7-a02f-3196c688257b"/>
      </ext>
    </extLst>
  </connection>
  <connection id="3" xr16:uid="{15E396B4-3844-4C69-871D-DB36C196444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378a302-710e-4687-bc83-91a4f21bb6cf"/>
      </ext>
    </extLst>
  </connection>
  <connection id="4" xr16:uid="{89FB254F-AF40-4CD7-98D0-9AA7317C934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<sst xmlns="http://schemas.openxmlformats.org/spreadsheetml/2006/main" count="5034" uniqueCount="1312">
  <si>
    <t>Distinct Count of Patient Id</t>
  </si>
  <si>
    <t>No.of Patients</t>
  </si>
  <si>
    <t>Average of Patient Waittime</t>
  </si>
  <si>
    <t>Average of Patient Satisfaction Score</t>
  </si>
  <si>
    <t>Grand Total</t>
  </si>
  <si>
    <t>Row Labels</t>
  </si>
  <si>
    <t xml:space="preserve">No.Of Patient </t>
  </si>
  <si>
    <t>Patient Satisfaction Score</t>
  </si>
  <si>
    <t>Patient Wait Time</t>
  </si>
  <si>
    <t>•Showing a daily trend with an area sparkline to spot patterns like busy days or seasonal trends.</t>
  </si>
  <si>
    <t>Showing Area sparkline to show trends, spot drops in satisfaction, and link them to busy times or challenges.</t>
  </si>
  <si>
    <t>Showing area sparkline to track daily changes and highlight days with longer wait times that might need improvements</t>
  </si>
  <si>
    <t>Count of Patient Admission Flag</t>
  </si>
  <si>
    <t>Admitted</t>
  </si>
  <si>
    <t>Not Admitted</t>
  </si>
  <si>
    <t>Count of Patient Admission Flag2</t>
  </si>
  <si>
    <t>Admission Status</t>
  </si>
  <si>
    <t>%Status</t>
  </si>
  <si>
    <t>0-09</t>
  </si>
  <si>
    <t>10-19</t>
  </si>
  <si>
    <t>20-29</t>
  </si>
  <si>
    <t>30-39</t>
  </si>
  <si>
    <t>40-49</t>
  </si>
  <si>
    <t>50-59</t>
  </si>
  <si>
    <t>60-69</t>
  </si>
  <si>
    <t>70-79</t>
  </si>
  <si>
    <t>Count of Age Group</t>
  </si>
  <si>
    <t>Age Group Wise</t>
  </si>
  <si>
    <t>Delayed</t>
  </si>
  <si>
    <t>OnTime</t>
  </si>
  <si>
    <t>Count of Patient Id</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</si>
  <si>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</si>
  <si>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</si>
  <si>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</si>
  <si>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</si>
  <si>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</si>
  <si>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</si>
  <si>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</si>
  <si>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</si>
  <si>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</si>
  <si>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</si>
  <si>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</si>
  <si>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</si>
  <si>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</si>
  <si>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167-30-0521</t>
  </si>
  <si>
    <t>L. Mablestone</t>
  </si>
  <si>
    <t>Male</t>
  </si>
  <si>
    <t>White</t>
  </si>
  <si>
    <t>None</t>
  </si>
  <si>
    <t>481-74-8563</t>
  </si>
  <si>
    <t>R. Poytheras</t>
  </si>
  <si>
    <t>523-28-0782</t>
  </si>
  <si>
    <t>A. Van Zon</t>
  </si>
  <si>
    <t>465-15-3314</t>
  </si>
  <si>
    <t>B. Grigorescu</t>
  </si>
  <si>
    <t>783-74-8530</t>
  </si>
  <si>
    <t>C. Jeffrey</t>
  </si>
  <si>
    <t>695-67-1022</t>
  </si>
  <si>
    <t>D. Novis</t>
  </si>
  <si>
    <t>744-75-0386</t>
  </si>
  <si>
    <t>E. Pessel</t>
  </si>
  <si>
    <t>533-35-3293</t>
  </si>
  <si>
    <t>F. Jovicic</t>
  </si>
  <si>
    <t>597-13-7907</t>
  </si>
  <si>
    <t>G. Maughan</t>
  </si>
  <si>
    <t>839-61-9068</t>
  </si>
  <si>
    <t>H. Vondrach</t>
  </si>
  <si>
    <t>203-33-9606</t>
  </si>
  <si>
    <t>I. Lenglet</t>
  </si>
  <si>
    <t>211-79-3733</t>
  </si>
  <si>
    <t>J. Keatch</t>
  </si>
  <si>
    <t>298-36-1790</t>
  </si>
  <si>
    <t>K. Scole</t>
  </si>
  <si>
    <t>536-78-3429</t>
  </si>
  <si>
    <t>K. Isaac</t>
  </si>
  <si>
    <t>843-42-9690</t>
  </si>
  <si>
    <t>L. Mariner</t>
  </si>
  <si>
    <t>399-42-9314</t>
  </si>
  <si>
    <t>M. Heape</t>
  </si>
  <si>
    <t>717-80-5643</t>
  </si>
  <si>
    <t>O. Sculley</t>
  </si>
  <si>
    <t>322-85-6482</t>
  </si>
  <si>
    <t>Q. Mithun</t>
  </si>
  <si>
    <t>690-77-1528</t>
  </si>
  <si>
    <t>S. Brendish</t>
  </si>
  <si>
    <t>163-69-0005</t>
  </si>
  <si>
    <t>U. Kalinsky</t>
  </si>
  <si>
    <t>557-58-5294</t>
  </si>
  <si>
    <t>U. Mullane</t>
  </si>
  <si>
    <t>623-38-5573</t>
  </si>
  <si>
    <t>Z. Kynnd</t>
  </si>
  <si>
    <t>Female</t>
  </si>
  <si>
    <t>142-06-4332</t>
  </si>
  <si>
    <t>B. Eccles</t>
  </si>
  <si>
    <t>456-57-3018</t>
  </si>
  <si>
    <t>B. Tousy</t>
  </si>
  <si>
    <t>744-11-8969</t>
  </si>
  <si>
    <t>G. Carp</t>
  </si>
  <si>
    <t>800-04-2533</t>
  </si>
  <si>
    <t>I. Garralts</t>
  </si>
  <si>
    <t>630-12-4865</t>
  </si>
  <si>
    <t>J. Biggin</t>
  </si>
  <si>
    <t>106-25-8604</t>
  </si>
  <si>
    <t>J. Ebbins</t>
  </si>
  <si>
    <t>855-75-9962</t>
  </si>
  <si>
    <t>J. Sparsholt</t>
  </si>
  <si>
    <t>360-64-1390</t>
  </si>
  <si>
    <t>K. Terrey</t>
  </si>
  <si>
    <t>831-28-9145</t>
  </si>
  <si>
    <t>M. Strange</t>
  </si>
  <si>
    <t>463-65-5530</t>
  </si>
  <si>
    <t>N. Landsborough</t>
  </si>
  <si>
    <t>775-20-3436</t>
  </si>
  <si>
    <t>N. Moores</t>
  </si>
  <si>
    <t>197-33-1015</t>
  </si>
  <si>
    <t>N. Mengue</t>
  </si>
  <si>
    <t>773-97-1480</t>
  </si>
  <si>
    <t>O. Elliman</t>
  </si>
  <si>
    <t>313-04-2804</t>
  </si>
  <si>
    <t>Q. Count</t>
  </si>
  <si>
    <t>218-83-3717</t>
  </si>
  <si>
    <t>V. Goodred</t>
  </si>
  <si>
    <t>789-12-9925</t>
  </si>
  <si>
    <t>V. Mundy</t>
  </si>
  <si>
    <t>849-83-7668</t>
  </si>
  <si>
    <t>G. Ogilvie</t>
  </si>
  <si>
    <t>171-50-1220</t>
  </si>
  <si>
    <t>Z. Dax</t>
  </si>
  <si>
    <t>323-84-1604</t>
  </si>
  <si>
    <t>P. Yeld</t>
  </si>
  <si>
    <t>190-62-3939</t>
  </si>
  <si>
    <t>I. Barnet</t>
  </si>
  <si>
    <t>801-07-7339</t>
  </si>
  <si>
    <t>J. Schermick</t>
  </si>
  <si>
    <t>293-46-1362</t>
  </si>
  <si>
    <t>L. Woodrooffe</t>
  </si>
  <si>
    <t>685-99-9934</t>
  </si>
  <si>
    <t>M. Carnilian</t>
  </si>
  <si>
    <t>604-72-2115</t>
  </si>
  <si>
    <t>M. Kinghorn</t>
  </si>
  <si>
    <t>466-80-6058</t>
  </si>
  <si>
    <t>O. Crimes</t>
  </si>
  <si>
    <t>742-08-0457</t>
  </si>
  <si>
    <t>O. Fogel</t>
  </si>
  <si>
    <t>154-15-2617</t>
  </si>
  <si>
    <t>S. Copyn</t>
  </si>
  <si>
    <t>135-81-4176</t>
  </si>
  <si>
    <t>U. Chastanet</t>
  </si>
  <si>
    <t>405-64-0256</t>
  </si>
  <si>
    <t>Y. Topling</t>
  </si>
  <si>
    <t>522-98-0828</t>
  </si>
  <si>
    <t>Z. Bonifazio</t>
  </si>
  <si>
    <t>689-04-9270</t>
  </si>
  <si>
    <t>U. Island</t>
  </si>
  <si>
    <t>812-72-2025</t>
  </si>
  <si>
    <t>E. Whitwam</t>
  </si>
  <si>
    <t>176-91-4008</t>
  </si>
  <si>
    <t>A. Render</t>
  </si>
  <si>
    <t>560-89-7239</t>
  </si>
  <si>
    <t>A. Orringe</t>
  </si>
  <si>
    <t>735-55-8837</t>
  </si>
  <si>
    <t>C. Polet</t>
  </si>
  <si>
    <t>331-34-8927</t>
  </si>
  <si>
    <t>D. Mitchely</t>
  </si>
  <si>
    <t>729-09-1173</t>
  </si>
  <si>
    <t>F. McWhan</t>
  </si>
  <si>
    <t>362-55-7521</t>
  </si>
  <si>
    <t>F. Jenoure</t>
  </si>
  <si>
    <t>557-63-9631</t>
  </si>
  <si>
    <t>G. Chadbourne</t>
  </si>
  <si>
    <t>661-12-9006</t>
  </si>
  <si>
    <t>I. Apperley</t>
  </si>
  <si>
    <t>426-39-1493</t>
  </si>
  <si>
    <t>I. Copyn</t>
  </si>
  <si>
    <t>699-42-8804</t>
  </si>
  <si>
    <t>I. Jiricka</t>
  </si>
  <si>
    <t>154-48-7665</t>
  </si>
  <si>
    <t>L. Peert</t>
  </si>
  <si>
    <t>848-30-3365</t>
  </si>
  <si>
    <t>T. Capnerhurst</t>
  </si>
  <si>
    <t>879-64-8222</t>
  </si>
  <si>
    <t>U. Hamshere</t>
  </si>
  <si>
    <t>374-88-8638</t>
  </si>
  <si>
    <t>U. Dy</t>
  </si>
  <si>
    <t>254-25-5430</t>
  </si>
  <si>
    <t>W. Gerrels</t>
  </si>
  <si>
    <t>773-58-7793</t>
  </si>
  <si>
    <t>W. Connar</t>
  </si>
  <si>
    <t>506-43-3890</t>
  </si>
  <si>
    <t>X. Fumagalli</t>
  </si>
  <si>
    <t>892-34-1050</t>
  </si>
  <si>
    <t>C. Braunroth</t>
  </si>
  <si>
    <t>African American</t>
  </si>
  <si>
    <t>557-57-3240</t>
  </si>
  <si>
    <t>I. Gethins</t>
  </si>
  <si>
    <t>345-80-7681</t>
  </si>
  <si>
    <t>O. Buddington</t>
  </si>
  <si>
    <t>250-94-3465</t>
  </si>
  <si>
    <t>C. Echlin</t>
  </si>
  <si>
    <t>637-45-8303</t>
  </si>
  <si>
    <t>D. Engledow</t>
  </si>
  <si>
    <t>350-72-3131</t>
  </si>
  <si>
    <t>F. Crutchley</t>
  </si>
  <si>
    <t>174-30-8230</t>
  </si>
  <si>
    <t>K. Snellman</t>
  </si>
  <si>
    <t>252-20-2215</t>
  </si>
  <si>
    <t>O. Spain-Gower</t>
  </si>
  <si>
    <t>620-60-9423</t>
  </si>
  <si>
    <t>P. Dennes</t>
  </si>
  <si>
    <t>422-79-2376</t>
  </si>
  <si>
    <t>R. Guilfoyle</t>
  </si>
  <si>
    <t>575-80-8828</t>
  </si>
  <si>
    <t>U. Shawcross</t>
  </si>
  <si>
    <t>317-40-2697</t>
  </si>
  <si>
    <t>U. Kells</t>
  </si>
  <si>
    <t>334-41-5934</t>
  </si>
  <si>
    <t>X. Ponte</t>
  </si>
  <si>
    <t>355-78-1256</t>
  </si>
  <si>
    <t>Y. McGettigan</t>
  </si>
  <si>
    <t>335-25-0106</t>
  </si>
  <si>
    <t>F. Deely</t>
  </si>
  <si>
    <t>863-91-3510</t>
  </si>
  <si>
    <t>E. Snelgar</t>
  </si>
  <si>
    <t>343-72-2599</t>
  </si>
  <si>
    <t>E. Jonke</t>
  </si>
  <si>
    <t>327-14-0232</t>
  </si>
  <si>
    <t>F. Fullard</t>
  </si>
  <si>
    <t>157-03-9970</t>
  </si>
  <si>
    <t>G. Capelin</t>
  </si>
  <si>
    <t>193-02-5632</t>
  </si>
  <si>
    <t>J. Ivermee</t>
  </si>
  <si>
    <t>196-55-4306</t>
  </si>
  <si>
    <t>L. Caghan</t>
  </si>
  <si>
    <t>818-64-0082</t>
  </si>
  <si>
    <t>P. Patrie</t>
  </si>
  <si>
    <t>311-29-1521</t>
  </si>
  <si>
    <t>Q. Turfs</t>
  </si>
  <si>
    <t>291-48-9297</t>
  </si>
  <si>
    <t>T. Bennit</t>
  </si>
  <si>
    <t>231-82-7606</t>
  </si>
  <si>
    <t>W. Mathes</t>
  </si>
  <si>
    <t>213-36-0331</t>
  </si>
  <si>
    <t>W. Feechum</t>
  </si>
  <si>
    <t>260-42-5687</t>
  </si>
  <si>
    <t>W. Nicklinson</t>
  </si>
  <si>
    <t>509-22-9173</t>
  </si>
  <si>
    <t>Z. McKibben</t>
  </si>
  <si>
    <t>888-70-5454</t>
  </si>
  <si>
    <t>Q. Bolsteridge</t>
  </si>
  <si>
    <t>854-18-4574</t>
  </si>
  <si>
    <t>D. Camerello</t>
  </si>
  <si>
    <t>383-43-2338</t>
  </si>
  <si>
    <t>H. Wylder</t>
  </si>
  <si>
    <t>600-88-7516</t>
  </si>
  <si>
    <t>I. Burt</t>
  </si>
  <si>
    <t>811-04-0657</t>
  </si>
  <si>
    <t>M. Loveland</t>
  </si>
  <si>
    <t>100-72-5705</t>
  </si>
  <si>
    <t>N. Dudny</t>
  </si>
  <si>
    <t>385-06-1474</t>
  </si>
  <si>
    <t>O. Dysart</t>
  </si>
  <si>
    <t>780-84-7920</t>
  </si>
  <si>
    <t>Q. Trimmell</t>
  </si>
  <si>
    <t>146-55-5490</t>
  </si>
  <si>
    <t>R. Jost</t>
  </si>
  <si>
    <t>704-73-3087</t>
  </si>
  <si>
    <t>S. Gowler</t>
  </si>
  <si>
    <t>131-86-4510</t>
  </si>
  <si>
    <t>S. Arnau</t>
  </si>
  <si>
    <t>432-31-1766</t>
  </si>
  <si>
    <t>U. Freen</t>
  </si>
  <si>
    <t>118-21-1408</t>
  </si>
  <si>
    <t>X. Orpin</t>
  </si>
  <si>
    <t>590-11-7748</t>
  </si>
  <si>
    <t>F. Mathwen</t>
  </si>
  <si>
    <t>402-25-4023</t>
  </si>
  <si>
    <t>H. Aspinall</t>
  </si>
  <si>
    <t>259-13-6629</t>
  </si>
  <si>
    <t>H. Challis</t>
  </si>
  <si>
    <t>363-63-8730</t>
  </si>
  <si>
    <t>K. Gillbey</t>
  </si>
  <si>
    <t>747-47-8842</t>
  </si>
  <si>
    <t>K. Rove</t>
  </si>
  <si>
    <t>509-77-5147</t>
  </si>
  <si>
    <t>N. Longmire</t>
  </si>
  <si>
    <t>141-03-4367</t>
  </si>
  <si>
    <t>R. Brewster</t>
  </si>
  <si>
    <t>314-75-9545</t>
  </si>
  <si>
    <t>S. Langthorne</t>
  </si>
  <si>
    <t>131-78-6758</t>
  </si>
  <si>
    <t>V. Richt</t>
  </si>
  <si>
    <t>160-25-9103</t>
  </si>
  <si>
    <t>V. Bere</t>
  </si>
  <si>
    <t>440-92-8284</t>
  </si>
  <si>
    <t>Z. Blythe</t>
  </si>
  <si>
    <t>652-33-9813</t>
  </si>
  <si>
    <t>D. Hovie</t>
  </si>
  <si>
    <t>Two or More Races</t>
  </si>
  <si>
    <t>574-65-3712</t>
  </si>
  <si>
    <t>J. Massow</t>
  </si>
  <si>
    <t>469-38-1832</t>
  </si>
  <si>
    <t>M. Tutton</t>
  </si>
  <si>
    <t>886-96-6452</t>
  </si>
  <si>
    <t>C. Mellhuish</t>
  </si>
  <si>
    <t>287-54-9000</t>
  </si>
  <si>
    <t>J. Stonman</t>
  </si>
  <si>
    <t>495-27-5086</t>
  </si>
  <si>
    <t>K. Rodders</t>
  </si>
  <si>
    <t>252-19-4344</t>
  </si>
  <si>
    <t>T. Sallowaye</t>
  </si>
  <si>
    <t>696-03-1165</t>
  </si>
  <si>
    <t>D. Wilmut</t>
  </si>
  <si>
    <t>719-81-3707</t>
  </si>
  <si>
    <t>E. Espadas</t>
  </si>
  <si>
    <t>633-69-2579</t>
  </si>
  <si>
    <t>K. Strotton</t>
  </si>
  <si>
    <t>821-57-3198</t>
  </si>
  <si>
    <t>O. Le Gassick</t>
  </si>
  <si>
    <t>635-32-3437</t>
  </si>
  <si>
    <t>Q. Trowbridge</t>
  </si>
  <si>
    <t>471-82-1748</t>
  </si>
  <si>
    <t>V. Cullrford</t>
  </si>
  <si>
    <t>428-19-8362</t>
  </si>
  <si>
    <t>V. Seviour</t>
  </si>
  <si>
    <t>255-19-6333</t>
  </si>
  <si>
    <t>W. Daldan</t>
  </si>
  <si>
    <t>497-14-4839</t>
  </si>
  <si>
    <t>W. Fergusson</t>
  </si>
  <si>
    <t>422-73-8407</t>
  </si>
  <si>
    <t>Y. Gowry</t>
  </si>
  <si>
    <t>337-20-1813</t>
  </si>
  <si>
    <t>Z. Twinberrow</t>
  </si>
  <si>
    <t>435-77-6310</t>
  </si>
  <si>
    <t>C. Pedrol</t>
  </si>
  <si>
    <t>472-84-7278</t>
  </si>
  <si>
    <t>W. Needham</t>
  </si>
  <si>
    <t>849-88-0586</t>
  </si>
  <si>
    <t>A. Carbry</t>
  </si>
  <si>
    <t>337-26-8445</t>
  </si>
  <si>
    <t>D. Prinn</t>
  </si>
  <si>
    <t>417-94-9904</t>
  </si>
  <si>
    <t>E. Bastistini</t>
  </si>
  <si>
    <t>501-51-6876</t>
  </si>
  <si>
    <t>F. Pablo</t>
  </si>
  <si>
    <t>459-17-1766</t>
  </si>
  <si>
    <t>G. Keepin</t>
  </si>
  <si>
    <t>730-27-7143</t>
  </si>
  <si>
    <t>L. Collomosse</t>
  </si>
  <si>
    <t>740-85-5462</t>
  </si>
  <si>
    <t>M. Mathonnet</t>
  </si>
  <si>
    <t>667-25-2596</t>
  </si>
  <si>
    <t>P. Medcraft</t>
  </si>
  <si>
    <t>200-75-3420</t>
  </si>
  <si>
    <t>R. Greaser</t>
  </si>
  <si>
    <t>650-97-0593</t>
  </si>
  <si>
    <t>R. Rosten</t>
  </si>
  <si>
    <t>785-87-9452</t>
  </si>
  <si>
    <t>V. Gentle</t>
  </si>
  <si>
    <t>204-74-7032</t>
  </si>
  <si>
    <t>D. Mingardo</t>
  </si>
  <si>
    <t>894-55-1978</t>
  </si>
  <si>
    <t>M. Truwert</t>
  </si>
  <si>
    <t>381-42-5162</t>
  </si>
  <si>
    <t>Q. Wones</t>
  </si>
  <si>
    <t>182-39-2715</t>
  </si>
  <si>
    <t>R. Omrod</t>
  </si>
  <si>
    <t>470-74-4865</t>
  </si>
  <si>
    <t>T. Leyborne</t>
  </si>
  <si>
    <t>856-72-6362</t>
  </si>
  <si>
    <t>U. Wartnaby</t>
  </si>
  <si>
    <t>342-06-3290</t>
  </si>
  <si>
    <t>W. Llywarch</t>
  </si>
  <si>
    <t>350-23-6043</t>
  </si>
  <si>
    <t>Y. Truss</t>
  </si>
  <si>
    <t>659-59-5114</t>
  </si>
  <si>
    <t>Y. Oakden</t>
  </si>
  <si>
    <t>Declined to Identify</t>
  </si>
  <si>
    <t>835-64-0452</t>
  </si>
  <si>
    <t>Y. Bereford</t>
  </si>
  <si>
    <t>568-73-9574</t>
  </si>
  <si>
    <t>Z. Robuchon</t>
  </si>
  <si>
    <t>378-37-8203</t>
  </si>
  <si>
    <t>C. Mutlow</t>
  </si>
  <si>
    <t>839-25-4121</t>
  </si>
  <si>
    <t>F. Aujean</t>
  </si>
  <si>
    <t>620-84-7483</t>
  </si>
  <si>
    <t>H. Schulke</t>
  </si>
  <si>
    <t>778-94-1723</t>
  </si>
  <si>
    <t>K. Dash</t>
  </si>
  <si>
    <t>133-70-2188</t>
  </si>
  <si>
    <t>L. Bisley</t>
  </si>
  <si>
    <t>254-61-0446</t>
  </si>
  <si>
    <t>M. Vittle</t>
  </si>
  <si>
    <t>181-14-8158</t>
  </si>
  <si>
    <t>N. Buxy</t>
  </si>
  <si>
    <t>897-05-5888</t>
  </si>
  <si>
    <t>N. Barbie</t>
  </si>
  <si>
    <t>695-13-5601</t>
  </si>
  <si>
    <t>O. Dillingham</t>
  </si>
  <si>
    <t>706-94-5641</t>
  </si>
  <si>
    <t>Q. Keveren</t>
  </si>
  <si>
    <t>417-46-2398</t>
  </si>
  <si>
    <t>R. Ablett</t>
  </si>
  <si>
    <t>837-64-4784</t>
  </si>
  <si>
    <t>V. Sydall</t>
  </si>
  <si>
    <t>458-98-8860</t>
  </si>
  <si>
    <t>J. Helgass</t>
  </si>
  <si>
    <t>124-73-3676</t>
  </si>
  <si>
    <t>K. Bilofsky</t>
  </si>
  <si>
    <t>422-91-8230</t>
  </si>
  <si>
    <t>M. Fullylove</t>
  </si>
  <si>
    <t>630-21-7470</t>
  </si>
  <si>
    <t>I. Crisp</t>
  </si>
  <si>
    <t>422-38-5979</t>
  </si>
  <si>
    <t>I. Thurstan</t>
  </si>
  <si>
    <t>455-80-8231</t>
  </si>
  <si>
    <t>N. Rzehorz</t>
  </si>
  <si>
    <t>140-47-4325</t>
  </si>
  <si>
    <t>O. Sewell</t>
  </si>
  <si>
    <t>510-71-3837</t>
  </si>
  <si>
    <t>T. Devaney</t>
  </si>
  <si>
    <t>525-15-5126</t>
  </si>
  <si>
    <t>G. Linnett</t>
  </si>
  <si>
    <t>120-16-5066</t>
  </si>
  <si>
    <t>E. Farny</t>
  </si>
  <si>
    <t>508-43-6247</t>
  </si>
  <si>
    <t>F. Straneo</t>
  </si>
  <si>
    <t>494-54-0566</t>
  </si>
  <si>
    <t>L. McKie</t>
  </si>
  <si>
    <t>259-47-2459</t>
  </si>
  <si>
    <t>L. Lochead</t>
  </si>
  <si>
    <t>302-84-1379</t>
  </si>
  <si>
    <t>N. Brosius</t>
  </si>
  <si>
    <t>199-30-9296</t>
  </si>
  <si>
    <t>N. Banane</t>
  </si>
  <si>
    <t>133-74-7626</t>
  </si>
  <si>
    <t>T. Lothean</t>
  </si>
  <si>
    <t>146-06-4600</t>
  </si>
  <si>
    <t>G. Gilfether</t>
  </si>
  <si>
    <t>581-87-1825</t>
  </si>
  <si>
    <t>H. Benstead</t>
  </si>
  <si>
    <t>864-76-8775</t>
  </si>
  <si>
    <t>M. Brailey</t>
  </si>
  <si>
    <t>495-98-0302</t>
  </si>
  <si>
    <t>V. Neumann</t>
  </si>
  <si>
    <t>292-42-3785</t>
  </si>
  <si>
    <t>W. Wannop</t>
  </si>
  <si>
    <t>878-80-5617</t>
  </si>
  <si>
    <t>Y. Coare</t>
  </si>
  <si>
    <t>663-72-5329</t>
  </si>
  <si>
    <t>I. Prydden</t>
  </si>
  <si>
    <t>Asian</t>
  </si>
  <si>
    <t>648-84-6300</t>
  </si>
  <si>
    <t>J. Franceschino</t>
  </si>
  <si>
    <t>755-10-1498</t>
  </si>
  <si>
    <t>L. Kettle</t>
  </si>
  <si>
    <t>876-64-9030</t>
  </si>
  <si>
    <t>Q. Stanborough</t>
  </si>
  <si>
    <t>807-93-4330</t>
  </si>
  <si>
    <t>V. Cordy</t>
  </si>
  <si>
    <t>843-56-0384</t>
  </si>
  <si>
    <t>I. Fairrie</t>
  </si>
  <si>
    <t>320-36-7101</t>
  </si>
  <si>
    <t>T. Fudge</t>
  </si>
  <si>
    <t>568-65-2667</t>
  </si>
  <si>
    <t>L. Mammatt</t>
  </si>
  <si>
    <t>813-71-9872</t>
  </si>
  <si>
    <t>A. Lewton</t>
  </si>
  <si>
    <t>842-73-0049</t>
  </si>
  <si>
    <t>I. Janikowski</t>
  </si>
  <si>
    <t>537-29-4653</t>
  </si>
  <si>
    <t>K. Harvatt</t>
  </si>
  <si>
    <t>160-71-8820</t>
  </si>
  <si>
    <t>M. Waddoups</t>
  </si>
  <si>
    <t>708-80-7139</t>
  </si>
  <si>
    <t>N. Junkison</t>
  </si>
  <si>
    <t>800-09-1545</t>
  </si>
  <si>
    <t>R. Jellett</t>
  </si>
  <si>
    <t>368-74-4482</t>
  </si>
  <si>
    <t>S. Blunsen</t>
  </si>
  <si>
    <t>209-94-4931</t>
  </si>
  <si>
    <t>X. Tabert</t>
  </si>
  <si>
    <t>226-92-3412</t>
  </si>
  <si>
    <t>G. Antoniak</t>
  </si>
  <si>
    <t>832-25-9816</t>
  </si>
  <si>
    <t>C. MacSherry</t>
  </si>
  <si>
    <t>735-51-2783</t>
  </si>
  <si>
    <t>K. Ind</t>
  </si>
  <si>
    <t>487-94-8562</t>
  </si>
  <si>
    <t>K. Brigstock</t>
  </si>
  <si>
    <t>845-04-1216</t>
  </si>
  <si>
    <t>M. Carus</t>
  </si>
  <si>
    <t>730-36-4244</t>
  </si>
  <si>
    <t>M. Cade</t>
  </si>
  <si>
    <t>428-71-5074</t>
  </si>
  <si>
    <t>P. Myrkus</t>
  </si>
  <si>
    <t>290-17-4655</t>
  </si>
  <si>
    <t>Y. Whitington</t>
  </si>
  <si>
    <t>193-59-9441</t>
  </si>
  <si>
    <t>B. Dumbellow</t>
  </si>
  <si>
    <t>305-01-4491</t>
  </si>
  <si>
    <t>E. Phillis</t>
  </si>
  <si>
    <t>828-38-1580</t>
  </si>
  <si>
    <t>H. Cowcha</t>
  </si>
  <si>
    <t>892-21-6166</t>
  </si>
  <si>
    <t>H. Ivanyushin</t>
  </si>
  <si>
    <t>363-01-4073</t>
  </si>
  <si>
    <t>J. Zimmer</t>
  </si>
  <si>
    <t>532-08-2723</t>
  </si>
  <si>
    <t>J. Batt</t>
  </si>
  <si>
    <t>135-78-8511</t>
  </si>
  <si>
    <t>O. Marsden</t>
  </si>
  <si>
    <t>312-49-8916</t>
  </si>
  <si>
    <t>O. Borchardt</t>
  </si>
  <si>
    <t>244-95-7873</t>
  </si>
  <si>
    <t>X. Maddaford</t>
  </si>
  <si>
    <t>312-69-6763</t>
  </si>
  <si>
    <t>Y. Durante</t>
  </si>
  <si>
    <t>820-96-9624</t>
  </si>
  <si>
    <t>B. Mottini</t>
  </si>
  <si>
    <t>Pacific Islander</t>
  </si>
  <si>
    <t>258-25-3910</t>
  </si>
  <si>
    <t>T. McCahey</t>
  </si>
  <si>
    <t>784-54-9931</t>
  </si>
  <si>
    <t>M. Goudie</t>
  </si>
  <si>
    <t>404-31-3488</t>
  </si>
  <si>
    <t>A. Scallon</t>
  </si>
  <si>
    <t>776-73-6961</t>
  </si>
  <si>
    <t>L. Wissbey</t>
  </si>
  <si>
    <t>207-64-8402</t>
  </si>
  <si>
    <t>O. Skivington</t>
  </si>
  <si>
    <t>701-50-9412</t>
  </si>
  <si>
    <t>P. Kordt</t>
  </si>
  <si>
    <t>751-70-2352</t>
  </si>
  <si>
    <t>R. Bernini</t>
  </si>
  <si>
    <t>364-16-5242</t>
  </si>
  <si>
    <t>S. Stuchbury</t>
  </si>
  <si>
    <t>632-40-8703</t>
  </si>
  <si>
    <t>F. Barensky</t>
  </si>
  <si>
    <t>116-88-1470</t>
  </si>
  <si>
    <t>H. Treece</t>
  </si>
  <si>
    <t>841-52-4923</t>
  </si>
  <si>
    <t>I. Temblett</t>
  </si>
  <si>
    <t>794-61-8016</t>
  </si>
  <si>
    <t>C. Ceney</t>
  </si>
  <si>
    <t>748-02-4547</t>
  </si>
  <si>
    <t>B. Ledram</t>
  </si>
  <si>
    <t>Native American/Alaska Native</t>
  </si>
  <si>
    <t>663-08-4603</t>
  </si>
  <si>
    <t>I. Beverstock</t>
  </si>
  <si>
    <t>261-67-8550</t>
  </si>
  <si>
    <t>C. Grouse</t>
  </si>
  <si>
    <t>790-45-7947</t>
  </si>
  <si>
    <t>E. Wakelam</t>
  </si>
  <si>
    <t>190-40-5748</t>
  </si>
  <si>
    <t>G. Pappin</t>
  </si>
  <si>
    <t>786-04-8828</t>
  </si>
  <si>
    <t>N. Paaso</t>
  </si>
  <si>
    <t>349-86-8121</t>
  </si>
  <si>
    <t>Q. Snugg</t>
  </si>
  <si>
    <t>382-92-2448</t>
  </si>
  <si>
    <t>Q. Mance</t>
  </si>
  <si>
    <t>479-41-7486</t>
  </si>
  <si>
    <t>U. Weyland</t>
  </si>
  <si>
    <t>344-89-8080</t>
  </si>
  <si>
    <t>W. Dare</t>
  </si>
  <si>
    <t>215-50-7038</t>
  </si>
  <si>
    <t>R. Agney</t>
  </si>
  <si>
    <t>General Practice</t>
  </si>
  <si>
    <t>541-67-3152</t>
  </si>
  <si>
    <t>T. Gogin</t>
  </si>
  <si>
    <t>208-30-8894</t>
  </si>
  <si>
    <t>Y. Quiddinton</t>
  </si>
  <si>
    <t>693-24-9026</t>
  </si>
  <si>
    <t>Q. Sayers</t>
  </si>
  <si>
    <t>196-64-2615</t>
  </si>
  <si>
    <t>Y. Kinnock</t>
  </si>
  <si>
    <t>339-15-9922</t>
  </si>
  <si>
    <t>J. Jina</t>
  </si>
  <si>
    <t>146-74-0413</t>
  </si>
  <si>
    <t>N. Weddeburn</t>
  </si>
  <si>
    <t>620-83-1871</t>
  </si>
  <si>
    <t>Q. Helmke</t>
  </si>
  <si>
    <t>876-08-4748</t>
  </si>
  <si>
    <t>C. Stonier</t>
  </si>
  <si>
    <t>314-59-3768</t>
  </si>
  <si>
    <t>L. Ragsdale</t>
  </si>
  <si>
    <t>875-18-8746</t>
  </si>
  <si>
    <t>A. Renzini</t>
  </si>
  <si>
    <t>527-85-0144</t>
  </si>
  <si>
    <t>Z. Swayte</t>
  </si>
  <si>
    <t>778-57-1512</t>
  </si>
  <si>
    <t>G. MacCall</t>
  </si>
  <si>
    <t>833-30-3540</t>
  </si>
  <si>
    <t>I. Currao</t>
  </si>
  <si>
    <t>506-11-6490</t>
  </si>
  <si>
    <t>S. Norwood</t>
  </si>
  <si>
    <t>349-88-0069</t>
  </si>
  <si>
    <t>H. Lutwidge</t>
  </si>
  <si>
    <t>846-75-1744</t>
  </si>
  <si>
    <t>V. Visick</t>
  </si>
  <si>
    <t>508-84-3647</t>
  </si>
  <si>
    <t>Z. Sigfrid</t>
  </si>
  <si>
    <t>260-54-7458</t>
  </si>
  <si>
    <t>O. Chesnay</t>
  </si>
  <si>
    <t>556-75-8409</t>
  </si>
  <si>
    <t>K. Stellino</t>
  </si>
  <si>
    <t>385-36-3839</t>
  </si>
  <si>
    <t>W. Thornebarrow</t>
  </si>
  <si>
    <t>443-92-1671</t>
  </si>
  <si>
    <t>W. Fatharly</t>
  </si>
  <si>
    <t>444-76-3586</t>
  </si>
  <si>
    <t>X. Butchers</t>
  </si>
  <si>
    <t>547-37-9917</t>
  </si>
  <si>
    <t>Y. Dayborne</t>
  </si>
  <si>
    <t>524-32-9191</t>
  </si>
  <si>
    <t>F. Hacon</t>
  </si>
  <si>
    <t>240-91-8056</t>
  </si>
  <si>
    <t>C. Jayume</t>
  </si>
  <si>
    <t>524-07-1664</t>
  </si>
  <si>
    <t>K. Galland</t>
  </si>
  <si>
    <t>523-65-6493</t>
  </si>
  <si>
    <t>B. Hulk</t>
  </si>
  <si>
    <t>109-22-5491</t>
  </si>
  <si>
    <t>G. Reisenstein</t>
  </si>
  <si>
    <t>696-25-8164</t>
  </si>
  <si>
    <t>K. Evreux</t>
  </si>
  <si>
    <t>823-21-4024</t>
  </si>
  <si>
    <t>O. Lukasen</t>
  </si>
  <si>
    <t>282-10-7870</t>
  </si>
  <si>
    <t>K. Crosham</t>
  </si>
  <si>
    <t>181-84-9858</t>
  </si>
  <si>
    <t>T. Lindenberg</t>
  </si>
  <si>
    <t>519-77-2397</t>
  </si>
  <si>
    <t>K. Pellissier</t>
  </si>
  <si>
    <t>872-27-3342</t>
  </si>
  <si>
    <t>P. Lotte</t>
  </si>
  <si>
    <t>478-06-8771</t>
  </si>
  <si>
    <t>O. Gelsthorpe</t>
  </si>
  <si>
    <t>372-13-6382</t>
  </si>
  <si>
    <t>A. Lethieulier</t>
  </si>
  <si>
    <t>135-38-8450</t>
  </si>
  <si>
    <t>B. Carlet</t>
  </si>
  <si>
    <t>489-59-2907</t>
  </si>
  <si>
    <t>G. Folkerd</t>
  </si>
  <si>
    <t>432-67-1519</t>
  </si>
  <si>
    <t>M. Jost</t>
  </si>
  <si>
    <t>408-26-1392</t>
  </si>
  <si>
    <t>H. Hupka</t>
  </si>
  <si>
    <t>150-41-7960</t>
  </si>
  <si>
    <t>H. Manders</t>
  </si>
  <si>
    <t>299-19-3267</t>
  </si>
  <si>
    <t>Z. Ragless</t>
  </si>
  <si>
    <t>284-11-1573</t>
  </si>
  <si>
    <t>K. Franzman</t>
  </si>
  <si>
    <t>273-01-8560</t>
  </si>
  <si>
    <t>W. Fewless</t>
  </si>
  <si>
    <t>624-82-6885</t>
  </si>
  <si>
    <t>X. Crofts</t>
  </si>
  <si>
    <t>300-02-0984</t>
  </si>
  <si>
    <t>G. Hatto</t>
  </si>
  <si>
    <t>642-77-7413</t>
  </si>
  <si>
    <t>H. Hanster</t>
  </si>
  <si>
    <t>285-46-6711</t>
  </si>
  <si>
    <t>O. Stemson</t>
  </si>
  <si>
    <t>333-84-5832</t>
  </si>
  <si>
    <t>Y. Morison</t>
  </si>
  <si>
    <t>417-60-6491</t>
  </si>
  <si>
    <t>E. Creegan</t>
  </si>
  <si>
    <t>722-55-2589</t>
  </si>
  <si>
    <t>C. De Mico</t>
  </si>
  <si>
    <t>748-34-2359</t>
  </si>
  <si>
    <t>P. Giacomasso</t>
  </si>
  <si>
    <t>222-73-0701</t>
  </si>
  <si>
    <t>V. Siss</t>
  </si>
  <si>
    <t>498-46-0026</t>
  </si>
  <si>
    <t>X. Tallant</t>
  </si>
  <si>
    <t>859-55-1950</t>
  </si>
  <si>
    <t>Y. Allon</t>
  </si>
  <si>
    <t>786-22-4260</t>
  </si>
  <si>
    <t>A. Pardon</t>
  </si>
  <si>
    <t>122-98-5232</t>
  </si>
  <si>
    <t>C. Lambis</t>
  </si>
  <si>
    <t>437-21-6645</t>
  </si>
  <si>
    <t>D. Izakovitz</t>
  </si>
  <si>
    <t>134-06-7868</t>
  </si>
  <si>
    <t>H. Ranson</t>
  </si>
  <si>
    <t>190-65-0512</t>
  </si>
  <si>
    <t>M. MacIver</t>
  </si>
  <si>
    <t>775-34-9359</t>
  </si>
  <si>
    <t>M. Kenelin</t>
  </si>
  <si>
    <t>441-98-1360</t>
  </si>
  <si>
    <t>M. Agget</t>
  </si>
  <si>
    <t>473-48-7700</t>
  </si>
  <si>
    <t>Q. Lochran</t>
  </si>
  <si>
    <t>340-23-0743</t>
  </si>
  <si>
    <t>V. Vynoll</t>
  </si>
  <si>
    <t>456-69-5853</t>
  </si>
  <si>
    <t>E. Goodfellowe</t>
  </si>
  <si>
    <t>438-20-3934</t>
  </si>
  <si>
    <t>G. Hablet</t>
  </si>
  <si>
    <t>340-91-1652</t>
  </si>
  <si>
    <t>J. Vivien</t>
  </si>
  <si>
    <t>295-99-2730</t>
  </si>
  <si>
    <t>M. Ingolotti</t>
  </si>
  <si>
    <t>318-75-8375</t>
  </si>
  <si>
    <t>Q. Mesnard</t>
  </si>
  <si>
    <t>343-44-5828</t>
  </si>
  <si>
    <t>T. Sykora</t>
  </si>
  <si>
    <t>448-09-4952</t>
  </si>
  <si>
    <t>U. Tease</t>
  </si>
  <si>
    <t>708-38-2408</t>
  </si>
  <si>
    <t>W. Bust</t>
  </si>
  <si>
    <t>482-49-4853</t>
  </si>
  <si>
    <t>Z. Reaman</t>
  </si>
  <si>
    <t>352-70-3795</t>
  </si>
  <si>
    <t>L. Ord</t>
  </si>
  <si>
    <t>293-87-7863</t>
  </si>
  <si>
    <t>Q. Mulliss</t>
  </si>
  <si>
    <t>140-25-6958</t>
  </si>
  <si>
    <t>T. Sivorn</t>
  </si>
  <si>
    <t>312-76-3868</t>
  </si>
  <si>
    <t>Z. O'Doherty</t>
  </si>
  <si>
    <t>413-75-7208</t>
  </si>
  <si>
    <t>N. Dumelow</t>
  </si>
  <si>
    <t>587-94-0306</t>
  </si>
  <si>
    <t>U. Telling</t>
  </si>
  <si>
    <t>353-99-9075</t>
  </si>
  <si>
    <t>U. Hemms</t>
  </si>
  <si>
    <t>595-86-7693</t>
  </si>
  <si>
    <t>Z. Panter</t>
  </si>
  <si>
    <t>178-52-1500</t>
  </si>
  <si>
    <t>K. Beavington</t>
  </si>
  <si>
    <t>Orthopedics</t>
  </si>
  <si>
    <t>118-89-9281</t>
  </si>
  <si>
    <t>H. Ritter</t>
  </si>
  <si>
    <t>824-26-7312</t>
  </si>
  <si>
    <t>N. Siuda</t>
  </si>
  <si>
    <t>357-89-2203</t>
  </si>
  <si>
    <t>Q. McGonigal</t>
  </si>
  <si>
    <t>255-92-6340</t>
  </si>
  <si>
    <t>Q. Isitt</t>
  </si>
  <si>
    <t>528-14-9097</t>
  </si>
  <si>
    <t>Y. Minchinden</t>
  </si>
  <si>
    <t>639-97-8705</t>
  </si>
  <si>
    <t>F. Kainz</t>
  </si>
  <si>
    <t>682-86-8226</t>
  </si>
  <si>
    <t>I. McCaughey</t>
  </si>
  <si>
    <t>334-76-4005</t>
  </si>
  <si>
    <t>J. Sibbit</t>
  </si>
  <si>
    <t>120-71-9392</t>
  </si>
  <si>
    <t>K. Haet</t>
  </si>
  <si>
    <t>414-06-4445</t>
  </si>
  <si>
    <t>E. Detoc</t>
  </si>
  <si>
    <t>124-40-1013</t>
  </si>
  <si>
    <t>H. Rasher</t>
  </si>
  <si>
    <t>509-15-9216</t>
  </si>
  <si>
    <t>V. Takkos</t>
  </si>
  <si>
    <t>899-65-7826</t>
  </si>
  <si>
    <t>Y. Allan</t>
  </si>
  <si>
    <t>546-93-3891</t>
  </si>
  <si>
    <t>D. Beedie</t>
  </si>
  <si>
    <t>667-04-5340</t>
  </si>
  <si>
    <t>F. Dewar</t>
  </si>
  <si>
    <t>147-94-6823</t>
  </si>
  <si>
    <t>P. Coulthart</t>
  </si>
  <si>
    <t>869-18-4601</t>
  </si>
  <si>
    <t>W. Filipczynski</t>
  </si>
  <si>
    <t>884-65-0896</t>
  </si>
  <si>
    <t>J. Newgrosh</t>
  </si>
  <si>
    <t>809-10-0879</t>
  </si>
  <si>
    <t>J. Duffy</t>
  </si>
  <si>
    <t>875-20-1020</t>
  </si>
  <si>
    <t>R. Perrygo</t>
  </si>
  <si>
    <t>814-11-2492</t>
  </si>
  <si>
    <t>T. Fedorski</t>
  </si>
  <si>
    <t>778-27-5802</t>
  </si>
  <si>
    <t>D. Collymore</t>
  </si>
  <si>
    <t>674-79-1988</t>
  </si>
  <si>
    <t>Z. Souter</t>
  </si>
  <si>
    <t>759-40-6832</t>
  </si>
  <si>
    <t>K. Luparto</t>
  </si>
  <si>
    <t>825-28-0932</t>
  </si>
  <si>
    <t>L. Escoffier</t>
  </si>
  <si>
    <t>814-16-5063</t>
  </si>
  <si>
    <t>E. Sheasby</t>
  </si>
  <si>
    <t>257-30-3026</t>
  </si>
  <si>
    <t>Q. Bonaire</t>
  </si>
  <si>
    <t>160-36-8458</t>
  </si>
  <si>
    <t>B. Fredi</t>
  </si>
  <si>
    <t>477-47-0020</t>
  </si>
  <si>
    <t>J. Coey</t>
  </si>
  <si>
    <t>795-71-6463</t>
  </si>
  <si>
    <t>P. McCarty</t>
  </si>
  <si>
    <t>139-06-1169</t>
  </si>
  <si>
    <t>P. Swann</t>
  </si>
  <si>
    <t>296-03-8130</t>
  </si>
  <si>
    <t>K. Curteis</t>
  </si>
  <si>
    <t>402-45-4382</t>
  </si>
  <si>
    <t>U. Fitzpayn</t>
  </si>
  <si>
    <t>188-23-2789</t>
  </si>
  <si>
    <t>T. Dignam</t>
  </si>
  <si>
    <t>727-48-0641</t>
  </si>
  <si>
    <t>Y. Sheardown</t>
  </si>
  <si>
    <t>758-91-1303</t>
  </si>
  <si>
    <t>H. Bailie</t>
  </si>
  <si>
    <t>667-42-3519</t>
  </si>
  <si>
    <t>D. Timbrell</t>
  </si>
  <si>
    <t>672-53-8285</t>
  </si>
  <si>
    <t>I. Matisse</t>
  </si>
  <si>
    <t>651-29-6896</t>
  </si>
  <si>
    <t>N. Birdwhistell</t>
  </si>
  <si>
    <t>773-85-7179</t>
  </si>
  <si>
    <t>W. Vescovini</t>
  </si>
  <si>
    <t>609-45-7579</t>
  </si>
  <si>
    <t>J. Hassett</t>
  </si>
  <si>
    <t>737-96-0035</t>
  </si>
  <si>
    <t>C. Britland</t>
  </si>
  <si>
    <t>337-14-0634</t>
  </si>
  <si>
    <t>W. Vittel</t>
  </si>
  <si>
    <t>267-89-0681</t>
  </si>
  <si>
    <t>Q. Dangl</t>
  </si>
  <si>
    <t>Physiotherapy</t>
  </si>
  <si>
    <t>207-58-3631</t>
  </si>
  <si>
    <t>W. MacElharge</t>
  </si>
  <si>
    <t>208-31-6331</t>
  </si>
  <si>
    <t>E. Boffey</t>
  </si>
  <si>
    <t>350-07-8086</t>
  </si>
  <si>
    <t>C. Mendel</t>
  </si>
  <si>
    <t>399-44-4124</t>
  </si>
  <si>
    <t>N. Hillen</t>
  </si>
  <si>
    <t>736-84-8737</t>
  </si>
  <si>
    <t>D. Spraging</t>
  </si>
  <si>
    <t>414-23-6748</t>
  </si>
  <si>
    <t>Y. Wonham</t>
  </si>
  <si>
    <t>547-05-3726</t>
  </si>
  <si>
    <t>V. Oakden</t>
  </si>
  <si>
    <t>575-96-8201</t>
  </si>
  <si>
    <t>S. Windows</t>
  </si>
  <si>
    <t>714-15-3274</t>
  </si>
  <si>
    <t>L. Oliff</t>
  </si>
  <si>
    <t>784-87-8463</t>
  </si>
  <si>
    <t>O. Knight</t>
  </si>
  <si>
    <t>290-17-7158</t>
  </si>
  <si>
    <t>O. Schubbert</t>
  </si>
  <si>
    <t>639-25-3650</t>
  </si>
  <si>
    <t>J. Feavearyear</t>
  </si>
  <si>
    <t>389-78-9698</t>
  </si>
  <si>
    <t>L. Lambkin</t>
  </si>
  <si>
    <t>551-02-4054</t>
  </si>
  <si>
    <t>O. Gull</t>
  </si>
  <si>
    <t>Cardiology</t>
  </si>
  <si>
    <t>894-34-5445</t>
  </si>
  <si>
    <t>P. Mariolle</t>
  </si>
  <si>
    <t>884-30-0023</t>
  </si>
  <si>
    <t>C. Rechert</t>
  </si>
  <si>
    <t>671-07-3129</t>
  </si>
  <si>
    <t>R. Dumbrill</t>
  </si>
  <si>
    <t>231-44-6158</t>
  </si>
  <si>
    <t>M. Collidge</t>
  </si>
  <si>
    <t>497-25-0031</t>
  </si>
  <si>
    <t>T. Grindall</t>
  </si>
  <si>
    <t>839-52-8308</t>
  </si>
  <si>
    <t>L. Scanderet</t>
  </si>
  <si>
    <t>195-51-1109</t>
  </si>
  <si>
    <t>D. Earpe</t>
  </si>
  <si>
    <t>441-46-8707</t>
  </si>
  <si>
    <t>D. Filochov</t>
  </si>
  <si>
    <t>145-40-1045</t>
  </si>
  <si>
    <t>V. Prangle</t>
  </si>
  <si>
    <t>509-82-3979</t>
  </si>
  <si>
    <t>J. Gamlen</t>
  </si>
  <si>
    <t>382-86-3011</t>
  </si>
  <si>
    <t>I. Shrigley</t>
  </si>
  <si>
    <t>407-58-6440</t>
  </si>
  <si>
    <t>G. Meneyer</t>
  </si>
  <si>
    <t>391-91-5708</t>
  </si>
  <si>
    <t>X. Rumble</t>
  </si>
  <si>
    <t>895-41-3196</t>
  </si>
  <si>
    <t>H. Mattersley</t>
  </si>
  <si>
    <t>192-58-1232</t>
  </si>
  <si>
    <t>Q. Gleadhell</t>
  </si>
  <si>
    <t>Neurology</t>
  </si>
  <si>
    <t>820-32-2123</t>
  </si>
  <si>
    <t>M. Linfoot</t>
  </si>
  <si>
    <t>679-34-7055</t>
  </si>
  <si>
    <t>O. Bockmaster</t>
  </si>
  <si>
    <t>245-53-1118</t>
  </si>
  <si>
    <t>V. Adaway</t>
  </si>
  <si>
    <t>473-16-4015</t>
  </si>
  <si>
    <t>V. New</t>
  </si>
  <si>
    <t>571-38-8943</t>
  </si>
  <si>
    <t>Q. Rickell</t>
  </si>
  <si>
    <t>716-64-7519</t>
  </si>
  <si>
    <t>I. MacAscaidh</t>
  </si>
  <si>
    <t>128-05-1579</t>
  </si>
  <si>
    <t>T. MacCarrick</t>
  </si>
  <si>
    <t>899-98-2466</t>
  </si>
  <si>
    <t>V. Rodinger</t>
  </si>
  <si>
    <t>585-33-1678</t>
  </si>
  <si>
    <t>N. Beamand</t>
  </si>
  <si>
    <t>602-51-2635</t>
  </si>
  <si>
    <t>H. Ruskin</t>
  </si>
  <si>
    <t>422-80-2579</t>
  </si>
  <si>
    <t>Y. Hamments</t>
  </si>
  <si>
    <t>141-47-3493</t>
  </si>
  <si>
    <t>Y. Whardley</t>
  </si>
  <si>
    <t>569-40-2069</t>
  </si>
  <si>
    <t>K. Drakes</t>
  </si>
  <si>
    <t>791-28-9797</t>
  </si>
  <si>
    <t>T. Gunton</t>
  </si>
  <si>
    <t>Gastroenterology</t>
  </si>
  <si>
    <t>726-10-5465</t>
  </si>
  <si>
    <t>E. Vooght</t>
  </si>
  <si>
    <t>835-94-6808</t>
  </si>
  <si>
    <t>N. Jarvis</t>
  </si>
  <si>
    <t>255-94-5207</t>
  </si>
  <si>
    <t>C. Adamkiewicz</t>
  </si>
  <si>
    <t>849-97-5342</t>
  </si>
  <si>
    <t>B. Goodhew</t>
  </si>
  <si>
    <t>299-01-6031</t>
  </si>
  <si>
    <t>W. Peplaw</t>
  </si>
  <si>
    <t>228-33-1858</t>
  </si>
  <si>
    <t>K. Sharrier</t>
  </si>
  <si>
    <t>412-01-5770</t>
  </si>
  <si>
    <t>Z. Dummett</t>
  </si>
  <si>
    <t>193-37-7138</t>
  </si>
  <si>
    <t>J. Simons</t>
  </si>
  <si>
    <t>543-61-6058</t>
  </si>
  <si>
    <t>B. Hathway</t>
  </si>
  <si>
    <t>722-51-5042</t>
  </si>
  <si>
    <t>D. Vinas</t>
  </si>
  <si>
    <t>524-01-4528</t>
  </si>
  <si>
    <t>R. Born</t>
  </si>
  <si>
    <t>Renal</t>
  </si>
  <si>
    <t>530-06-5008</t>
  </si>
  <si>
    <t>R. Berendsen</t>
  </si>
  <si>
    <t>876-70-2288</t>
  </si>
  <si>
    <t>G. Sallery</t>
  </si>
  <si>
    <t>234-94-2985</t>
  </si>
  <si>
    <t>P. Garlee</t>
  </si>
  <si>
    <t>199-43-4653</t>
  </si>
  <si>
    <t>Y. Casley</t>
  </si>
  <si>
    <t>699-27-8178</t>
  </si>
  <si>
    <t>E. Ascraft</t>
  </si>
  <si>
    <t>174-46-8097</t>
  </si>
  <si>
    <t>Q. Dickie</t>
  </si>
  <si>
    <t>880-77-9403</t>
  </si>
  <si>
    <t>W. Benbrick</t>
  </si>
  <si>
    <t>635-55-6937</t>
  </si>
  <si>
    <t>Y. Gostridge</t>
  </si>
  <si>
    <t>710-62-0164</t>
  </si>
  <si>
    <t>M. Maffin</t>
  </si>
  <si>
    <t>898-05-7530</t>
  </si>
  <si>
    <t>D. Spoor</t>
  </si>
  <si>
    <t>143-73-5607</t>
  </si>
  <si>
    <t>T. Kender</t>
  </si>
  <si>
    <t>528-14-7644</t>
  </si>
  <si>
    <t>Z. Huntingdon</t>
  </si>
  <si>
    <t>282-16-4480</t>
  </si>
  <si>
    <t>F. Vaughan-Hughes</t>
  </si>
  <si>
    <t>154-73-5990</t>
  </si>
  <si>
    <t>K. Sagg</t>
  </si>
  <si>
    <t>231-20-7799</t>
  </si>
  <si>
    <t>V. Puddifer</t>
  </si>
  <si>
    <t>878-36-7830</t>
  </si>
  <si>
    <t>J. Pietrzyk</t>
  </si>
  <si>
    <t>247-92-4074</t>
  </si>
  <si>
    <t>H. Guinn</t>
  </si>
  <si>
    <t>461-55-0550</t>
  </si>
  <si>
    <t>L. Fawlks</t>
  </si>
  <si>
    <t>246-48-0846</t>
  </si>
  <si>
    <t>Z. Kays</t>
  </si>
  <si>
    <t>893-28-5273</t>
  </si>
  <si>
    <t>F. Metcalf</t>
  </si>
  <si>
    <t>393-06-6114</t>
  </si>
  <si>
    <t>E. Labrenz</t>
  </si>
  <si>
    <t>538-39-7442</t>
  </si>
  <si>
    <t>K. Durrand</t>
  </si>
  <si>
    <t>333-28-5802</t>
  </si>
  <si>
    <t>O. Kohneke</t>
  </si>
  <si>
    <t>142-24-2360</t>
  </si>
  <si>
    <t>O. Sheward</t>
  </si>
  <si>
    <t>565-38-3119</t>
  </si>
  <si>
    <t>M. McClaurie</t>
  </si>
  <si>
    <t>221-75-5469</t>
  </si>
  <si>
    <t>Q. Trudgeon</t>
  </si>
  <si>
    <t>691-30-6115</t>
  </si>
  <si>
    <t>X. Swinley</t>
  </si>
  <si>
    <t>241-64-7642</t>
  </si>
  <si>
    <t>A. Danielovitch</t>
  </si>
  <si>
    <t>179-75-0561</t>
  </si>
  <si>
    <t>Q. Pedler</t>
  </si>
  <si>
    <t>470-65-1385</t>
  </si>
  <si>
    <t>T. Davidowsky</t>
  </si>
  <si>
    <t>521-01-3986</t>
  </si>
  <si>
    <t>N. Stych</t>
  </si>
  <si>
    <t>363-26-2671</t>
  </si>
  <si>
    <t>N. Adran</t>
  </si>
  <si>
    <t>851-08-9115</t>
  </si>
  <si>
    <t>R. Allawy</t>
  </si>
  <si>
    <t>670-40-9098</t>
  </si>
  <si>
    <t>J. Davidge</t>
  </si>
  <si>
    <t>419-82-3648</t>
  </si>
  <si>
    <t>M. Duchasteau</t>
  </si>
  <si>
    <t>606-25-1593</t>
  </si>
  <si>
    <t>K. Somerfield</t>
  </si>
  <si>
    <t>517-10-4550</t>
  </si>
  <si>
    <t>J. Spearett</t>
  </si>
  <si>
    <t>557-52-3003</t>
  </si>
  <si>
    <t>K. Dupree</t>
  </si>
  <si>
    <t>451-83-7227</t>
  </si>
  <si>
    <t>D. Levy</t>
  </si>
  <si>
    <t>439-09-4695</t>
  </si>
  <si>
    <t>T. Bastiman</t>
  </si>
  <si>
    <t>876-71-2417</t>
  </si>
  <si>
    <t>B. Gladebeck</t>
  </si>
  <si>
    <t>835-45-5469</t>
  </si>
  <si>
    <t>B. Jorat</t>
  </si>
  <si>
    <t>228-41-0095</t>
  </si>
  <si>
    <t>O. Leete</t>
  </si>
  <si>
    <t>409-26-1045</t>
  </si>
  <si>
    <t>C. Gannicott</t>
  </si>
  <si>
    <t>879-36-5037</t>
  </si>
  <si>
    <t>E. Venable</t>
  </si>
  <si>
    <t>158-72-1114</t>
  </si>
  <si>
    <t>O. Blakeney</t>
  </si>
  <si>
    <t>826-96-7716</t>
  </si>
  <si>
    <t>B. Twiggs</t>
  </si>
  <si>
    <t>620-57-1837</t>
  </si>
  <si>
    <t>F. Habbert</t>
  </si>
  <si>
    <t>510-36-0741</t>
  </si>
  <si>
    <t>Z. Lunck</t>
  </si>
  <si>
    <t>611-16-6180</t>
  </si>
  <si>
    <t>R. Berriman</t>
  </si>
  <si>
    <t>272-82-0727</t>
  </si>
  <si>
    <t>P. Meegan</t>
  </si>
  <si>
    <t>215-81-1749</t>
  </si>
  <si>
    <t>N. Pidgeon</t>
  </si>
  <si>
    <t>310-75-2760</t>
  </si>
  <si>
    <t>B. Mayhow</t>
  </si>
  <si>
    <t>791-74-3814</t>
  </si>
  <si>
    <t>H. Crammy</t>
  </si>
  <si>
    <t>620-60-2232</t>
  </si>
  <si>
    <t>B. Carress</t>
  </si>
  <si>
    <t>562-51-2259</t>
  </si>
  <si>
    <t>L. Longhorn</t>
  </si>
  <si>
    <t>217-16-4283</t>
  </si>
  <si>
    <t>G. Tewnion</t>
  </si>
  <si>
    <t>897-46-3852</t>
  </si>
  <si>
    <t>P. Schubuser</t>
  </si>
  <si>
    <t>102-20-6596</t>
  </si>
  <si>
    <t>V. Asson</t>
  </si>
  <si>
    <t>465-81-9018</t>
  </si>
  <si>
    <t>T. Dome</t>
  </si>
  <si>
    <t>665-62-7161</t>
  </si>
  <si>
    <t>J. Thirlaway</t>
  </si>
  <si>
    <t>591-05-6298</t>
  </si>
  <si>
    <t>Y. Fraschetti</t>
  </si>
  <si>
    <t>359-56-0973</t>
  </si>
  <si>
    <t>T. Hehnke</t>
  </si>
  <si>
    <t>510-10-3956</t>
  </si>
  <si>
    <t>T. Thomann</t>
  </si>
  <si>
    <t>898-96-3786</t>
  </si>
  <si>
    <t>E. Bossom</t>
  </si>
  <si>
    <t>375-69-3471</t>
  </si>
  <si>
    <t>I. Verrico</t>
  </si>
  <si>
    <t>298-91-5578</t>
  </si>
  <si>
    <t>S. Stanfield</t>
  </si>
  <si>
    <t>821-38-7964</t>
  </si>
  <si>
    <t>T. McPike</t>
  </si>
  <si>
    <t>674-28-1008</t>
  </si>
  <si>
    <t>K. Rouzet</t>
  </si>
  <si>
    <t>143-37-8396</t>
  </si>
  <si>
    <t>I. McClintock</t>
  </si>
  <si>
    <t>245-37-8627</t>
  </si>
  <si>
    <t>I. Lilloe</t>
  </si>
  <si>
    <t>321-88-9571</t>
  </si>
  <si>
    <t>J. Steade</t>
  </si>
  <si>
    <t>148-35-5241</t>
  </si>
  <si>
    <t>N. Roxby</t>
  </si>
  <si>
    <t>206-25-4281</t>
  </si>
  <si>
    <t>D. Yarrington</t>
  </si>
  <si>
    <t>427-84-2175</t>
  </si>
  <si>
    <t>D. Palmar</t>
  </si>
  <si>
    <t>713-14-9027</t>
  </si>
  <si>
    <t>X. Kearsley</t>
  </si>
  <si>
    <t>796-20-6865</t>
  </si>
  <si>
    <t>Q. Veque</t>
  </si>
  <si>
    <t>659-69-2555</t>
  </si>
  <si>
    <t>Y. Castro</t>
  </si>
  <si>
    <t>899-45-0451</t>
  </si>
  <si>
    <t>M. Goldwater</t>
  </si>
  <si>
    <t>441-73-2531</t>
  </si>
  <si>
    <t>F. Dowrey</t>
  </si>
  <si>
    <t>321-08-8842</t>
  </si>
  <si>
    <t>A. Climson</t>
  </si>
  <si>
    <t>156-40-6822</t>
  </si>
  <si>
    <t>L. Keuneke</t>
  </si>
  <si>
    <t>844-34-2932</t>
  </si>
  <si>
    <t>H. Elster</t>
  </si>
  <si>
    <t>424-92-9339</t>
  </si>
  <si>
    <t>D. Delle</t>
  </si>
  <si>
    <t>592-27-7357</t>
  </si>
  <si>
    <t>I. Schimaschke</t>
  </si>
  <si>
    <t>552-43-0912</t>
  </si>
  <si>
    <t>J. Hamlet</t>
  </si>
  <si>
    <t>501-82-7238</t>
  </si>
  <si>
    <t>I. Franciotti</t>
  </si>
  <si>
    <t>684-50-5707</t>
  </si>
  <si>
    <t>H. Delort</t>
  </si>
  <si>
    <t>172-05-6912</t>
  </si>
  <si>
    <t>N. Birtwell</t>
  </si>
  <si>
    <t>414-69-2236</t>
  </si>
  <si>
    <t>T. Bolens</t>
  </si>
  <si>
    <t>534-52-3938</t>
  </si>
  <si>
    <t>J. Felmingham</t>
  </si>
  <si>
    <t>747-96-6784</t>
  </si>
  <si>
    <t>E. Ethington</t>
  </si>
  <si>
    <t>502-74-6263</t>
  </si>
  <si>
    <t>D. Bretherton</t>
  </si>
  <si>
    <t>216-23-9901</t>
  </si>
  <si>
    <t>F. Alphonso</t>
  </si>
  <si>
    <t>195-28-0811</t>
  </si>
  <si>
    <t>M. Winkett</t>
  </si>
  <si>
    <t>539-78-6123</t>
  </si>
  <si>
    <t>H. Swine</t>
  </si>
  <si>
    <t>425-15-8705</t>
  </si>
  <si>
    <t>H. Van de Velde</t>
  </si>
  <si>
    <t>296-05-6177</t>
  </si>
  <si>
    <t>H. Aylesbury</t>
  </si>
  <si>
    <t>283-50-3153</t>
  </si>
  <si>
    <t>G. Di Claudio</t>
  </si>
  <si>
    <t>370-55-2291</t>
  </si>
  <si>
    <t>X. Mc Trusty</t>
  </si>
  <si>
    <t>256-70-6672</t>
  </si>
  <si>
    <t>F. Imore</t>
  </si>
  <si>
    <t>436-57-3978</t>
  </si>
  <si>
    <t>H. Caesar</t>
  </si>
  <si>
    <t>777-61-6593</t>
  </si>
  <si>
    <t>W. Flemyng</t>
  </si>
  <si>
    <t>569-71-9134</t>
  </si>
  <si>
    <t>S. Dottrell</t>
  </si>
  <si>
    <t>284-29-3382</t>
  </si>
  <si>
    <t>J. Drew-Clifton</t>
  </si>
  <si>
    <t>202-24-9835</t>
  </si>
  <si>
    <t>U. Delnevo</t>
  </si>
  <si>
    <t>463-20-0140</t>
  </si>
  <si>
    <t>V. Devereux</t>
  </si>
  <si>
    <t>482-71-0293</t>
  </si>
  <si>
    <t>M. Crudge</t>
  </si>
  <si>
    <t>716-30-8175</t>
  </si>
  <si>
    <t>K. Marchello</t>
  </si>
  <si>
    <t>863-56-7331</t>
  </si>
  <si>
    <t>C. Sharper</t>
  </si>
  <si>
    <t>607-44-6875</t>
  </si>
  <si>
    <t>L. Vedekhov</t>
  </si>
  <si>
    <t>850-19-4604</t>
  </si>
  <si>
    <t>H. Cheeke</t>
  </si>
  <si>
    <t>215-96-3099</t>
  </si>
  <si>
    <t>S. Millan</t>
  </si>
  <si>
    <t>595-33-7472</t>
  </si>
  <si>
    <t>V. Vaughn</t>
  </si>
  <si>
    <t>797-16-0807</t>
  </si>
  <si>
    <t>L. McCullogh</t>
  </si>
  <si>
    <t>125-88-7366</t>
  </si>
  <si>
    <t>U. Bulfield</t>
  </si>
  <si>
    <t>168-26-7298</t>
  </si>
  <si>
    <t>X. Nann</t>
  </si>
  <si>
    <t>456-85-7685</t>
  </si>
  <si>
    <t>P. Boyson</t>
  </si>
  <si>
    <t>302-30-5447</t>
  </si>
  <si>
    <t>Q. McAllester</t>
  </si>
  <si>
    <t>245-50-6682</t>
  </si>
  <si>
    <t>T. Mityukov</t>
  </si>
  <si>
    <t>377-36-2473</t>
  </si>
  <si>
    <t>T. Gilhooly</t>
  </si>
  <si>
    <t>195-62-9243</t>
  </si>
  <si>
    <t>Y. De Bischop</t>
  </si>
  <si>
    <t>258-48-2258</t>
  </si>
  <si>
    <t>T. Lyons</t>
  </si>
  <si>
    <t>526-03-2526</t>
  </si>
  <si>
    <t>V. Yarr</t>
  </si>
  <si>
    <t>794-84-8070</t>
  </si>
  <si>
    <t>C. Beining</t>
  </si>
  <si>
    <t>473-53-0515</t>
  </si>
  <si>
    <t>J. Limrick</t>
  </si>
  <si>
    <t>359-91-9193</t>
  </si>
  <si>
    <t>Q. Ayllett</t>
  </si>
  <si>
    <t>171-56-3657</t>
  </si>
  <si>
    <t>R. Quixley</t>
  </si>
  <si>
    <t>329-19-9616</t>
  </si>
  <si>
    <t>H. Domico</t>
  </si>
  <si>
    <t>234-62-4445</t>
  </si>
  <si>
    <t>X. Dimmer</t>
  </si>
  <si>
    <t>500-85-3554</t>
  </si>
  <si>
    <t>X. Kineton</t>
  </si>
  <si>
    <t>202-95-1671</t>
  </si>
  <si>
    <t>F. Beneix</t>
  </si>
  <si>
    <t>760-17-2412</t>
  </si>
  <si>
    <t>V. Rawlins</t>
  </si>
  <si>
    <t>345-80-7659</t>
  </si>
  <si>
    <t>C. Goggins</t>
  </si>
  <si>
    <t>886-73-9148</t>
  </si>
  <si>
    <t>N. MacAnulty</t>
  </si>
  <si>
    <t>796-21-1372</t>
  </si>
  <si>
    <t>Q. Keddie</t>
  </si>
  <si>
    <t>537-38-4602</t>
  </si>
  <si>
    <t>S. Crewes</t>
  </si>
  <si>
    <t>875-64-9335</t>
  </si>
  <si>
    <t>O. Poulett</t>
  </si>
  <si>
    <t>410-34-9359</t>
  </si>
  <si>
    <t>G. Francescotti</t>
  </si>
  <si>
    <t>280-20-5879</t>
  </si>
  <si>
    <t>L. Diggle</t>
  </si>
  <si>
    <t>785-52-4020</t>
  </si>
  <si>
    <t>C. Heintsch</t>
  </si>
  <si>
    <t>307-89-1652</t>
  </si>
  <si>
    <t>D. Eglese</t>
  </si>
  <si>
    <t>818-18-4154</t>
  </si>
  <si>
    <t>K. Gosnold</t>
  </si>
  <si>
    <t>128-42-7299</t>
  </si>
  <si>
    <t>Q. Denidge</t>
  </si>
  <si>
    <t>846-58-8376</t>
  </si>
  <si>
    <t>G. Bazley</t>
  </si>
  <si>
    <t>674-39-3958</t>
  </si>
  <si>
    <t>L. Corradino</t>
  </si>
  <si>
    <t>724-64-2811</t>
  </si>
  <si>
    <t>R. Wrennall</t>
  </si>
  <si>
    <t>795-97-8042</t>
  </si>
  <si>
    <t>K. Gillow</t>
  </si>
  <si>
    <t>631-83-4544</t>
  </si>
  <si>
    <t>G. Beardsdale</t>
  </si>
  <si>
    <t>220-40-6700</t>
  </si>
  <si>
    <t>V. Tamsett</t>
  </si>
  <si>
    <t>891-66-0692</t>
  </si>
  <si>
    <t>N. Coopey</t>
  </si>
  <si>
    <t>257-61-2650</t>
  </si>
  <si>
    <t>T. Strond</t>
  </si>
  <si>
    <t>185-86-8176</t>
  </si>
  <si>
    <t>S. McCreery</t>
  </si>
  <si>
    <t>358-91-5396</t>
  </si>
  <si>
    <t>V. Jerrold</t>
  </si>
  <si>
    <t>256-95-4828</t>
  </si>
  <si>
    <t>R. Kimmings</t>
  </si>
  <si>
    <t>654-74-6226</t>
  </si>
  <si>
    <t>N. Brayn</t>
  </si>
  <si>
    <t>576-08-7899</t>
  </si>
  <si>
    <t>U. Silmon</t>
  </si>
  <si>
    <t>100-84-7203</t>
  </si>
  <si>
    <t>K. Ybarra</t>
  </si>
  <si>
    <t>777-20-5908</t>
  </si>
  <si>
    <t>M. Blockley</t>
  </si>
  <si>
    <t>580-75-8753</t>
  </si>
  <si>
    <t>P. Piatto</t>
  </si>
  <si>
    <t>711-41-6622</t>
  </si>
  <si>
    <t>M. Geelan</t>
  </si>
  <si>
    <t>467-58-7994</t>
  </si>
  <si>
    <t>W. Sanbrooke</t>
  </si>
  <si>
    <t>216-39-5937</t>
  </si>
  <si>
    <t>P. Dupre</t>
  </si>
  <si>
    <t>311-78-6420</t>
  </si>
  <si>
    <t>N. Tenniswood</t>
  </si>
  <si>
    <t>336-21-6476</t>
  </si>
  <si>
    <t>L. Benduhn</t>
  </si>
  <si>
    <t>871-94-3138</t>
  </si>
  <si>
    <t>Q. Duckers</t>
  </si>
  <si>
    <t>446-34-2838</t>
  </si>
  <si>
    <t>G. Uttley</t>
  </si>
  <si>
    <t>217-57-5300</t>
  </si>
  <si>
    <t>J. Godson</t>
  </si>
  <si>
    <t>737-62-8031</t>
  </si>
  <si>
    <t>V. Ponton</t>
  </si>
  <si>
    <t>135-28-3714</t>
  </si>
  <si>
    <t>A. Mulheron</t>
  </si>
  <si>
    <t>133-43-4724</t>
  </si>
  <si>
    <t>K. Parr</t>
  </si>
  <si>
    <t>Data returned for Count of Patient Id, Delayed, Jun (First 1000 rows).</t>
  </si>
  <si>
    <t>Count of Patient Gender</t>
  </si>
  <si>
    <t>Count of Department Referral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</si>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</sst>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center" indent="3"/>
    </xf>
    <xf numFmtId="20" fontId="0" fillId="0" borderId="0" xfId="0" applyNumberFormat="1"/>
    <xf numFmtId="10" fontId="0" fillId="0" borderId="0" xfId="0" applyNumberFormat="1"/>
    <xf numFmtId="1" fontId="0" fillId="0" borderId="0" xfId="0" applyNumberFormat="1"/>
    <xf numFmtId="14" fontId="0" fillId="0" borderId="0" xfId="0" applyNumberFormat="1"/>
    <xf numFmtId="22" fontId="0" fillId="0" borderId="0" xfId="0" applyNumberFormat="1"/>
    <xf numFmtId="0" fontId="3" fillId="0" borderId="0" xfId="0" applyFont="1"/>
    <xf numFmtId="0" fontId="0" fillId="3" borderId="0" xfId="0" applyFill="1"/>
    <xf numFmtId="0" fontId="0" fillId="3" borderId="0" xfId="0" applyFill="1" applyAlignment="1">
      <alignment horizontal="center"/>
    </xf>
    <xf numFmtId="9" fontId="0" fillId="3" borderId="0" xfId="1" applyFont="1" applyFill="1" applyAlignment="1">
      <alignment horizontal="center"/>
    </xf>
    <xf numFmtId="0" fontId="2" fillId="4" borderId="0" xfId="0" applyFont="1" applyFill="1" applyAlignment="1">
      <alignment horizontal="center"/>
    </xf>
    <xf numFmtId="0" fontId="0" fillId="4" borderId="0" xfId="0" applyFill="1"/>
    <xf numFmtId="0" fontId="0" fillId="5" borderId="0" xfId="0" applyFill="1"/>
    <xf numFmtId="0" fontId="0" fillId="2" borderId="0" xfId="0" applyFill="1" applyAlignment="1">
      <alignment horizontal="center" vertical="center"/>
    </xf>
  </cellXfs>
  <cellStyles count="2">
    <cellStyle name="Normal" xfId="0" builtinId="0"/>
    <cellStyle name="Percent" xfId="1" builtinId="5"/>
  </cellStyles>
  <dxfs count="17">
    <dxf>
      <numFmt numFmtId="2" formatCode="0.0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7" formatCode="dd/mm/yyyy\ hh:mm"/>
    </dxf>
    <dxf>
      <numFmt numFmtId="19" formatCode="dd/mm/yyyy"/>
    </dxf>
    <dxf>
      <font>
        <b/>
        <color theme="1"/>
      </font>
      <border>
        <bottom style="thin">
          <color theme="7"/>
        </bottom>
        <vertical/>
        <horizontal/>
      </border>
    </dxf>
    <dxf>
      <font>
        <sz val="8"/>
        <color theme="1"/>
      </font>
      <fill>
        <patternFill>
          <bgColor theme="0" tint="-4.9989318521683403E-2"/>
        </patternFill>
      </fill>
      <border diagonalUp="0" diagonalDown="0">
        <left/>
        <right/>
        <top/>
        <bottom/>
        <vertical/>
        <horizontal/>
      </border>
    </dxf>
    <dxf>
      <font>
        <sz val="8"/>
      </font>
      <fill>
        <patternFill>
          <bgColor theme="0" tint="-4.9989318521683403E-2"/>
        </patternFill>
      </fill>
    </dxf>
  </dxfs>
  <tableStyles count="2" defaultTableStyle="TableStyleMedium2" defaultPivotStyle="PivotStyleLight16">
    <tableStyle name="My Style" pivot="0" table="0" count="2" xr9:uid="{89CBC0FD-7BE3-4B20-BEEF-1E710222D9C1}">
      <tableStyleElement type="wholeTable" dxfId="16"/>
    </tableStyle>
    <tableStyle name="SlicerStyleLight4 2" pivot="0" table="0" count="10" xr9:uid="{7A935CDB-5195-45F7-BFB0-66114986CFC5}">
      <tableStyleElement type="wholeTable" dxfId="15"/>
      <tableStyleElement type="headerRow" dxfId="14"/>
    </tableStyle>
  </tableStyles>
  <colors>
    <mruColors>
      <color rgb="FF99FF66"/>
      <color rgb="FFFFFFFF"/>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7" tint="0.39994506668294322"/>
            </patternFill>
          </fill>
        </dxf>
      </x14:dxfs>
    </ext>
    <ext xmlns:x14="http://schemas.microsoft.com/office/spreadsheetml/2009/9/main" uri="{EB79DEF2-80B8-43e5-95BD-54CBDDF9020C}">
      <x14:slicerStyles defaultSlicerStyle="SlicerStyleLight1">
        <x14:slicerStyle name="My Style">
          <x14:slicerStyleElements>
            <x14:slicerStyleElement type="selectedItemWith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Report!PivotTable7</c:name>
    <c:fmtId val="0"/>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
        <c:dLbl>
          <c:idx val="0"/>
          <c:delete val="1"/>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2001553735548943"/>
          <c:y val="0.23811671484102462"/>
          <c:w val="0.74720590946198617"/>
          <c:h val="0.66881540914980564"/>
        </c:manualLayout>
      </c:layout>
      <c:barChart>
        <c:barDir val="bar"/>
        <c:grouping val="clustered"/>
        <c:varyColors val="0"/>
        <c:ser>
          <c:idx val="0"/>
          <c:order val="0"/>
          <c:tx>
            <c:strRef>
              <c:f>'Pivot Report'!$B$41</c:f>
              <c:strCache>
                <c:ptCount val="1"/>
                <c:pt idx="0">
                  <c:v>Count of Patient Admission Flag</c:v>
                </c:pt>
              </c:strCache>
            </c:strRef>
          </c:tx>
          <c:spPr>
            <a:solidFill>
              <a:schemeClr val="accent4">
                <a:lumMod val="75000"/>
              </a:schemeClr>
            </a:solidFill>
            <a:ln>
              <a:noFill/>
            </a:ln>
            <a:effectLst/>
          </c:spPr>
          <c:invertIfNegative val="0"/>
          <c:cat>
            <c:strRef>
              <c:f>'Pivot Report'!$A$42:$A$44</c:f>
              <c:strCache>
                <c:ptCount val="2"/>
                <c:pt idx="0">
                  <c:v>Admitted</c:v>
                </c:pt>
                <c:pt idx="1">
                  <c:v>Not Admitted</c:v>
                </c:pt>
              </c:strCache>
            </c:strRef>
          </c:cat>
          <c:val>
            <c:numRef>
              <c:f>'Pivot Report'!$B$42:$B$44</c:f>
              <c:numCache>
                <c:formatCode>0.00</c:formatCode>
                <c:ptCount val="2"/>
                <c:pt idx="0">
                  <c:v>229</c:v>
                </c:pt>
                <c:pt idx="1">
                  <c:v>251</c:v>
                </c:pt>
              </c:numCache>
            </c:numRef>
          </c:val>
          <c:extLst>
            <c:ext xmlns:c16="http://schemas.microsoft.com/office/drawing/2014/chart" uri="{C3380CC4-5D6E-409C-BE32-E72D297353CC}">
              <c16:uniqueId val="{00000003-F1B2-4753-AB01-CCAA850F4700}"/>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0.47708333333333336</c:v>
                </c:pt>
                <c:pt idx="1">
                  <c:v>0.5229166666666667</c:v>
                </c:pt>
              </c:numCache>
            </c:numRef>
          </c:val>
          <c:extLst>
            <c:ext xmlns:c16="http://schemas.microsoft.com/office/drawing/2014/chart" uri="{C3380CC4-5D6E-409C-BE32-E72D297353CC}">
              <c16:uniqueId val="{00000004-F1B2-4753-AB01-CCAA850F4700}"/>
            </c:ext>
          </c:extLst>
        </c:ser>
        <c:dLbls>
          <c:showLegendKey val="0"/>
          <c:showVal val="0"/>
          <c:showCatName val="0"/>
          <c:showSerName val="0"/>
          <c:showPercent val="0"/>
          <c:showBubbleSize val="0"/>
        </c:dLbls>
        <c:gapWidth val="0"/>
        <c:axId val="889270736"/>
        <c:axId val="889271456"/>
      </c:barChart>
      <c:catAx>
        <c:axId val="889270736"/>
        <c:scaling>
          <c:orientation val="minMax"/>
        </c:scaling>
        <c:delete val="1"/>
        <c:axPos val="l"/>
        <c:numFmt formatCode="General" sourceLinked="1"/>
        <c:majorTickMark val="out"/>
        <c:minorTickMark val="none"/>
        <c:tickLblPos val="nextTo"/>
        <c:crossAx val="889271456"/>
        <c:crosses val="autoZero"/>
        <c:auto val="1"/>
        <c:lblAlgn val="ctr"/>
        <c:lblOffset val="100"/>
        <c:noMultiLvlLbl val="0"/>
      </c:catAx>
      <c:valAx>
        <c:axId val="889271456"/>
        <c:scaling>
          <c:orientation val="minMax"/>
        </c:scaling>
        <c:delete val="1"/>
        <c:axPos val="b"/>
        <c:numFmt formatCode="0.00" sourceLinked="1"/>
        <c:majorTickMark val="out"/>
        <c:minorTickMark val="none"/>
        <c:tickLblPos val="nextTo"/>
        <c:crossAx val="88927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7F7C-46AA-AA58-2D0BA55ABAC3}"/>
            </c:ext>
          </c:extLst>
        </c:ser>
        <c:dLbls>
          <c:showLegendKey val="0"/>
          <c:showVal val="0"/>
          <c:showCatName val="0"/>
          <c:showSerName val="0"/>
          <c:showPercent val="0"/>
          <c:showBubbleSize val="0"/>
        </c:dLbls>
        <c:axId val="734315296"/>
        <c:axId val="734315656"/>
      </c:areaChart>
      <c:catAx>
        <c:axId val="734315296"/>
        <c:scaling>
          <c:orientation val="minMax"/>
        </c:scaling>
        <c:delete val="1"/>
        <c:axPos val="b"/>
        <c:numFmt formatCode="General" sourceLinked="1"/>
        <c:majorTickMark val="out"/>
        <c:minorTickMark val="none"/>
        <c:tickLblPos val="nextTo"/>
        <c:crossAx val="734315656"/>
        <c:crosses val="autoZero"/>
        <c:auto val="1"/>
        <c:lblAlgn val="ctr"/>
        <c:lblOffset val="100"/>
        <c:noMultiLvlLbl val="0"/>
      </c:catAx>
      <c:valAx>
        <c:axId val="734315656"/>
        <c:scaling>
          <c:orientation val="minMax"/>
        </c:scaling>
        <c:delete val="1"/>
        <c:axPos val="l"/>
        <c:numFmt formatCode="General" sourceLinked="1"/>
        <c:majorTickMark val="none"/>
        <c:minorTickMark val="none"/>
        <c:tickLblPos val="nextTo"/>
        <c:crossAx val="73431529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Report!PivotTable5</c:name>
    <c:fmtId val="1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03193599429464E-3"/>
          <c:y val="0"/>
          <c:w val="0.99422968064005701"/>
          <c:h val="0.98780861831007527"/>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Report'!$G$6:$G$36</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Report'!$H$6:$H$36</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BAB0-4859-8190-EBFE85420DC7}"/>
            </c:ext>
          </c:extLst>
        </c:ser>
        <c:dLbls>
          <c:showLegendKey val="0"/>
          <c:showVal val="0"/>
          <c:showCatName val="0"/>
          <c:showSerName val="0"/>
          <c:showPercent val="0"/>
          <c:showBubbleSize val="0"/>
        </c:dLbls>
        <c:axId val="727483160"/>
        <c:axId val="727485320"/>
      </c:areaChart>
      <c:catAx>
        <c:axId val="727483160"/>
        <c:scaling>
          <c:orientation val="minMax"/>
        </c:scaling>
        <c:delete val="1"/>
        <c:axPos val="b"/>
        <c:numFmt formatCode="General" sourceLinked="1"/>
        <c:majorTickMark val="out"/>
        <c:minorTickMark val="none"/>
        <c:tickLblPos val="nextTo"/>
        <c:crossAx val="727485320"/>
        <c:crosses val="autoZero"/>
        <c:auto val="1"/>
        <c:lblAlgn val="ctr"/>
        <c:lblOffset val="100"/>
        <c:noMultiLvlLbl val="0"/>
      </c:catAx>
      <c:valAx>
        <c:axId val="727485320"/>
        <c:scaling>
          <c:orientation val="minMax"/>
        </c:scaling>
        <c:delete val="1"/>
        <c:axPos val="l"/>
        <c:numFmt formatCode="0.00" sourceLinked="1"/>
        <c:majorTickMark val="none"/>
        <c:minorTickMark val="none"/>
        <c:tickLblPos val="nextTo"/>
        <c:crossAx val="727483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Report!PivotTable6</c:name>
    <c:fmtId val="1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22511184397881E-2"/>
          <c:y val="0.22619577052247389"/>
          <c:w val="0.9417936761476885"/>
          <c:h val="0.54823720652057228"/>
        </c:manualLayout>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Report'!$L$6:$L$37</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7CB1-4722-ADD2-9EA7A4638308}"/>
            </c:ext>
          </c:extLst>
        </c:ser>
        <c:dLbls>
          <c:showLegendKey val="0"/>
          <c:showVal val="0"/>
          <c:showCatName val="0"/>
          <c:showSerName val="0"/>
          <c:showPercent val="0"/>
          <c:showBubbleSize val="0"/>
        </c:dLbls>
        <c:axId val="1221157296"/>
        <c:axId val="583844456"/>
      </c:areaChart>
      <c:catAx>
        <c:axId val="1221157296"/>
        <c:scaling>
          <c:orientation val="minMax"/>
        </c:scaling>
        <c:delete val="1"/>
        <c:axPos val="b"/>
        <c:numFmt formatCode="General" sourceLinked="1"/>
        <c:majorTickMark val="out"/>
        <c:minorTickMark val="none"/>
        <c:tickLblPos val="nextTo"/>
        <c:crossAx val="583844456"/>
        <c:crosses val="autoZero"/>
        <c:auto val="1"/>
        <c:lblAlgn val="ctr"/>
        <c:lblOffset val="100"/>
        <c:noMultiLvlLbl val="0"/>
      </c:catAx>
      <c:valAx>
        <c:axId val="583844456"/>
        <c:scaling>
          <c:orientation val="minMax"/>
        </c:scaling>
        <c:delete val="1"/>
        <c:axPos val="l"/>
        <c:numFmt formatCode="0.00" sourceLinked="1"/>
        <c:majorTickMark val="none"/>
        <c:minorTickMark val="none"/>
        <c:tickLblPos val="nextTo"/>
        <c:crossAx val="122115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7063627916075699E-3"/>
          <c:w val="0.98176845943482227"/>
          <c:h val="0.81982581253964082"/>
        </c:manualLayout>
      </c:layout>
      <c:barChart>
        <c:barDir val="col"/>
        <c:grouping val="clustered"/>
        <c:varyColors val="0"/>
        <c:ser>
          <c:idx val="0"/>
          <c:order val="0"/>
          <c:tx>
            <c:strRef>
              <c:f>'Pivot Report'!$G$41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Report'!$F$42:$F$50</c:f>
              <c:strCache>
                <c:ptCount val="8"/>
                <c:pt idx="0">
                  <c:v>0-09</c:v>
                </c:pt>
                <c:pt idx="1">
                  <c:v>10-19</c:v>
                </c:pt>
                <c:pt idx="2">
                  <c:v>20-29</c:v>
                </c:pt>
                <c:pt idx="3">
                  <c:v>30-39</c:v>
                </c:pt>
                <c:pt idx="4">
                  <c:v>40-49</c:v>
                </c:pt>
                <c:pt idx="5">
                  <c:v>50-59</c:v>
                </c:pt>
                <c:pt idx="6">
                  <c:v>60-69</c:v>
                </c:pt>
                <c:pt idx="7">
                  <c:v>70-79</c:v>
                </c:pt>
              </c:strCache>
            </c:strRef>
          </c:cat>
          <c:val>
            <c:numRef>
              <c:f>'Pivot Report'!$G$42:$G$50</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2-101A-42F1-8529-1D41881AD785}"/>
            </c:ext>
          </c:extLst>
        </c:ser>
        <c:dLbls>
          <c:showLegendKey val="0"/>
          <c:showVal val="0"/>
          <c:showCatName val="0"/>
          <c:showSerName val="0"/>
          <c:showPercent val="0"/>
          <c:showBubbleSize val="0"/>
        </c:dLbls>
        <c:gapWidth val="219"/>
        <c:overlap val="-27"/>
        <c:axId val="889344184"/>
        <c:axId val="889346704"/>
      </c:barChart>
      <c:catAx>
        <c:axId val="88934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9346704"/>
        <c:crosses val="autoZero"/>
        <c:auto val="1"/>
        <c:lblAlgn val="ctr"/>
        <c:lblOffset val="100"/>
        <c:noMultiLvlLbl val="0"/>
      </c:catAx>
      <c:valAx>
        <c:axId val="889346704"/>
        <c:scaling>
          <c:orientation val="minMax"/>
        </c:scaling>
        <c:delete val="1"/>
        <c:axPos val="l"/>
        <c:numFmt formatCode="0" sourceLinked="1"/>
        <c:majorTickMark val="none"/>
        <c:minorTickMark val="none"/>
        <c:tickLblPos val="nextTo"/>
        <c:crossAx val="889344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Report!PivotTable9</c:name>
    <c:fmtId val="3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263910581083845"/>
          <c:y val="0.17556772017155023"/>
          <c:w val="0.61380327415709601"/>
          <c:h val="0.75315324858585475"/>
        </c:manualLayout>
      </c:layout>
      <c:pieChart>
        <c:varyColors val="1"/>
        <c:ser>
          <c:idx val="0"/>
          <c:order val="0"/>
          <c:tx>
            <c:strRef>
              <c:f>'Pivot Report'!$G$53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74D7-40FC-8E63-66DB8D2E1EE7}"/>
              </c:ext>
            </c:extLst>
          </c:dPt>
          <c:dPt>
            <c:idx val="1"/>
            <c:bubble3D val="0"/>
            <c:spPr>
              <a:solidFill>
                <a:schemeClr val="accent2"/>
              </a:solidFill>
              <a:ln>
                <a:noFill/>
              </a:ln>
              <a:effectLst/>
            </c:spPr>
            <c:extLst>
              <c:ext xmlns:c16="http://schemas.microsoft.com/office/drawing/2014/chart" uri="{C3380CC4-5D6E-409C-BE32-E72D297353CC}">
                <c16:uniqueId val="{00000003-74D7-40FC-8E63-66DB8D2E1EE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Report'!$F$54:$F$56</c:f>
              <c:strCache>
                <c:ptCount val="2"/>
                <c:pt idx="0">
                  <c:v>Delayed</c:v>
                </c:pt>
                <c:pt idx="1">
                  <c:v>OnTime</c:v>
                </c:pt>
              </c:strCache>
            </c:strRef>
          </c:cat>
          <c:val>
            <c:numRef>
              <c:f>'Pivot Report'!$G$54:$G$56</c:f>
              <c:numCache>
                <c:formatCode>0</c:formatCode>
                <c:ptCount val="2"/>
                <c:pt idx="0">
                  <c:v>267</c:v>
                </c:pt>
                <c:pt idx="1">
                  <c:v>213</c:v>
                </c:pt>
              </c:numCache>
            </c:numRef>
          </c:val>
          <c:extLst>
            <c:ext xmlns:c16="http://schemas.microsoft.com/office/drawing/2014/chart" uri="{C3380CC4-5D6E-409C-BE32-E72D297353CC}">
              <c16:uniqueId val="{00000007-53FE-4176-BB79-87DEAD2C91C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646014994488251"/>
          <c:y val="0.10063791383406527"/>
          <c:w val="0.46760388788041757"/>
          <c:h val="8.217701953922426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Report!PivotTable10</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411341530798816"/>
          <c:y val="0.1515129622898953"/>
          <c:w val="0.69250064784869136"/>
          <c:h val="0.8484870377101047"/>
        </c:manualLayout>
      </c:layout>
      <c:doughnutChart>
        <c:varyColors val="1"/>
        <c:ser>
          <c:idx val="0"/>
          <c:order val="0"/>
          <c:tx>
            <c:strRef>
              <c:f>'Pivot Report'!$J$41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BD0-4302-88E2-4A3EAF0DC99A}"/>
              </c:ext>
            </c:extLst>
          </c:dPt>
          <c:dPt>
            <c:idx val="1"/>
            <c:bubble3D val="0"/>
            <c:spPr>
              <a:solidFill>
                <a:schemeClr val="accent2"/>
              </a:solidFill>
              <a:ln>
                <a:noFill/>
              </a:ln>
              <a:effectLst/>
            </c:spPr>
            <c:extLst>
              <c:ext xmlns:c16="http://schemas.microsoft.com/office/drawing/2014/chart" uri="{C3380CC4-5D6E-409C-BE32-E72D297353CC}">
                <c16:uniqueId val="{00000003-5BD0-4302-88E2-4A3EAF0DC9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Report'!$I$42:$I$44</c:f>
              <c:strCache>
                <c:ptCount val="2"/>
                <c:pt idx="0">
                  <c:v>Female</c:v>
                </c:pt>
                <c:pt idx="1">
                  <c:v>Male</c:v>
                </c:pt>
              </c:strCache>
            </c:strRef>
          </c:cat>
          <c:val>
            <c:numRef>
              <c:f>'Pivot Report'!$J$42:$J$44</c:f>
              <c:numCache>
                <c:formatCode>0</c:formatCode>
                <c:ptCount val="2"/>
                <c:pt idx="0">
                  <c:v>261</c:v>
                </c:pt>
                <c:pt idx="1">
                  <c:v>219</c:v>
                </c:pt>
              </c:numCache>
            </c:numRef>
          </c:val>
          <c:extLst>
            <c:ext xmlns:c16="http://schemas.microsoft.com/office/drawing/2014/chart" uri="{C3380CC4-5D6E-409C-BE32-E72D297353CC}">
              <c16:uniqueId val="{00000007-D936-4425-B342-2B6F2C47EE10}"/>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22002004631887323"/>
          <c:y val="4.2322915154467247E-2"/>
          <c:w val="0.48822443719449898"/>
          <c:h val="8.417936668535959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Report!PivotTable11</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4261106629890251E-2"/>
              <c:y val="8.42692755421975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2412875495473"/>
          <c:y val="0.10120301973927566"/>
          <c:w val="0.71875864760418784"/>
          <c:h val="0.85133400816058435"/>
        </c:manualLayout>
      </c:layout>
      <c:barChart>
        <c:barDir val="bar"/>
        <c:grouping val="clustered"/>
        <c:varyColors val="0"/>
        <c:ser>
          <c:idx val="0"/>
          <c:order val="0"/>
          <c:tx>
            <c:strRef>
              <c:f>'Pivot Report'!$J$47</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4-5EFE-4D59-A988-001307E8475A}"/>
              </c:ext>
            </c:extLst>
          </c:dPt>
          <c:dLbls>
            <c:dLbl>
              <c:idx val="7"/>
              <c:layout>
                <c:manualLayout>
                  <c:x val="3.4261106629890251E-2"/>
                  <c:y val="8.42692755421975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FE-4D59-A988-001307E847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Report'!$I$48:$I$56</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Report'!$J$48:$J$56</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5EFE-4D59-A988-001307E8475A}"/>
            </c:ext>
          </c:extLst>
        </c:ser>
        <c:dLbls>
          <c:dLblPos val="outEnd"/>
          <c:showLegendKey val="0"/>
          <c:showVal val="1"/>
          <c:showCatName val="0"/>
          <c:showSerName val="0"/>
          <c:showPercent val="0"/>
          <c:showBubbleSize val="0"/>
        </c:dLbls>
        <c:gapWidth val="82"/>
        <c:axId val="428782528"/>
        <c:axId val="428782888"/>
      </c:barChart>
      <c:catAx>
        <c:axId val="42878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28782888"/>
        <c:crosses val="autoZero"/>
        <c:auto val="1"/>
        <c:lblAlgn val="ctr"/>
        <c:lblOffset val="100"/>
        <c:noMultiLvlLbl val="0"/>
      </c:catAx>
      <c:valAx>
        <c:axId val="428782888"/>
        <c:scaling>
          <c:orientation val="minMax"/>
        </c:scaling>
        <c:delete val="1"/>
        <c:axPos val="b"/>
        <c:numFmt formatCode="0" sourceLinked="1"/>
        <c:majorTickMark val="none"/>
        <c:minorTickMark val="none"/>
        <c:tickLblPos val="nextTo"/>
        <c:crossAx val="42878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Report!PivotTable4</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s>
    <c:plotArea>
      <c:layout>
        <c:manualLayout>
          <c:layoutTarget val="inner"/>
          <c:xMode val="edge"/>
          <c:yMode val="edge"/>
          <c:x val="3.1126202603282398E-2"/>
          <c:y val="9.0534979423868317E-2"/>
          <c:w val="0.96887379739671764"/>
          <c:h val="0.90946502057613166"/>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accent1">
                          <a:lumMod val="60000"/>
                          <a:lumOff val="40000"/>
                        </a:schemeClr>
                      </a:solidFill>
                    </a:ln>
                    <a:effectLst/>
                  </c:spPr>
                </c15:leaderLines>
              </c:ext>
            </c:extLst>
          </c:dLbls>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1-59E2-4947-8155-958C62FB344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4315296"/>
        <c:axId val="734315656"/>
      </c:areaChart>
      <c:catAx>
        <c:axId val="7343152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4315656"/>
        <c:crosses val="autoZero"/>
        <c:auto val="1"/>
        <c:lblAlgn val="ctr"/>
        <c:lblOffset val="100"/>
        <c:noMultiLvlLbl val="0"/>
      </c:catAx>
      <c:valAx>
        <c:axId val="734315656"/>
        <c:scaling>
          <c:orientation val="minMax"/>
        </c:scaling>
        <c:delete val="1"/>
        <c:axPos val="l"/>
        <c:numFmt formatCode="General" sourceLinked="1"/>
        <c:majorTickMark val="out"/>
        <c:minorTickMark val="none"/>
        <c:tickLblPos val="nextTo"/>
        <c:crossAx val="734315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Report!PivotTable6</c:name>
    <c:fmtId val="120"/>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Report'!$K$6:$K$37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Report'!$L$6:$L$37</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1-265B-4475-9272-5263613FE8F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8411656"/>
        <c:axId val="728409136"/>
      </c:areaChart>
      <c:catAx>
        <c:axId val="7284116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8409136"/>
        <c:crosses val="autoZero"/>
        <c:auto val="1"/>
        <c:lblAlgn val="ctr"/>
        <c:lblOffset val="100"/>
        <c:noMultiLvlLbl val="0"/>
      </c:catAx>
      <c:valAx>
        <c:axId val="728409136"/>
        <c:scaling>
          <c:orientation val="minMax"/>
        </c:scaling>
        <c:delete val="1"/>
        <c:axPos val="l"/>
        <c:numFmt formatCode="0.00" sourceLinked="1"/>
        <c:majorTickMark val="out"/>
        <c:minorTickMark val="none"/>
        <c:tickLblPos val="nextTo"/>
        <c:crossAx val="728411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Hosptial Emergency Room Management Dashboard Excel.xlsx]Pivot Report!PivotTable5</c:name>
    <c:fmtId val="1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Report'!$G$6:$G$36</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Report'!$H$6:$H$36</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1-1DAC-404E-ACCA-DA3FEAC7353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7483160"/>
        <c:axId val="727485320"/>
      </c:areaChart>
      <c:catAx>
        <c:axId val="7274831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7485320"/>
        <c:crosses val="autoZero"/>
        <c:auto val="1"/>
        <c:lblAlgn val="ctr"/>
        <c:lblOffset val="100"/>
        <c:noMultiLvlLbl val="0"/>
      </c:catAx>
      <c:valAx>
        <c:axId val="727485320"/>
        <c:scaling>
          <c:orientation val="minMax"/>
        </c:scaling>
        <c:delete val="1"/>
        <c:axPos val="l"/>
        <c:numFmt formatCode="0.00" sourceLinked="1"/>
        <c:majorTickMark val="out"/>
        <c:minorTickMark val="none"/>
        <c:tickLblPos val="nextTo"/>
        <c:crossAx val="727483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Patient WaitTim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Patient Satisfaction Scor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193040</xdr:colOff>
      <xdr:row>48</xdr:row>
      <xdr:rowOff>132080</xdr:rowOff>
    </xdr:from>
    <xdr:to>
      <xdr:col>3</xdr:col>
      <xdr:colOff>1214120</xdr:colOff>
      <xdr:row>50</xdr:row>
      <xdr:rowOff>167640</xdr:rowOff>
    </xdr:to>
    <xdr:graphicFrame macro="">
      <xdr:nvGraphicFramePr>
        <xdr:cNvPr id="2" name="Chart 1">
          <a:extLst>
            <a:ext uri="{FF2B5EF4-FFF2-40B4-BE49-F238E27FC236}">
              <a16:creationId xmlns:a16="http://schemas.microsoft.com/office/drawing/2014/main" id="{CD9D5AE9-A6DB-75AA-CB4D-B9116193E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838200</xdr:colOff>
      <xdr:row>44</xdr:row>
      <xdr:rowOff>45721</xdr:rowOff>
    </xdr:from>
    <xdr:to>
      <xdr:col>7</xdr:col>
      <xdr:colOff>1149569</xdr:colOff>
      <xdr:row>48</xdr:row>
      <xdr:rowOff>30480</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C9202B67-D05B-DDED-901B-025AD9FB85E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387459" y="8138687"/>
              <a:ext cx="1828800" cy="720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94626</xdr:colOff>
      <xdr:row>0</xdr:row>
      <xdr:rowOff>126274</xdr:rowOff>
    </xdr:from>
    <xdr:to>
      <xdr:col>5</xdr:col>
      <xdr:colOff>486508</xdr:colOff>
      <xdr:row>3</xdr:row>
      <xdr:rowOff>74023</xdr:rowOff>
    </xdr:to>
    <xdr:sp macro="" textlink="">
      <xdr:nvSpPr>
        <xdr:cNvPr id="2" name="Rectangle: Rounded Corners 1">
          <a:extLst>
            <a:ext uri="{FF2B5EF4-FFF2-40B4-BE49-F238E27FC236}">
              <a16:creationId xmlns:a16="http://schemas.microsoft.com/office/drawing/2014/main" id="{43289CC4-97C1-D805-69A4-501CB9B0A5F9}"/>
            </a:ext>
          </a:extLst>
        </xdr:cNvPr>
        <xdr:cNvSpPr/>
      </xdr:nvSpPr>
      <xdr:spPr>
        <a:xfrm>
          <a:off x="94626" y="126274"/>
          <a:ext cx="3439882" cy="49287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370913</xdr:colOff>
      <xdr:row>0</xdr:row>
      <xdr:rowOff>114357</xdr:rowOff>
    </xdr:from>
    <xdr:to>
      <xdr:col>9</xdr:col>
      <xdr:colOff>492643</xdr:colOff>
      <xdr:row>9</xdr:row>
      <xdr:rowOff>16481</xdr:rowOff>
    </xdr:to>
    <xdr:sp macro="" textlink="">
      <xdr:nvSpPr>
        <xdr:cNvPr id="4" name="Rectangle: Rounded Corners 3">
          <a:extLst>
            <a:ext uri="{FF2B5EF4-FFF2-40B4-BE49-F238E27FC236}">
              <a16:creationId xmlns:a16="http://schemas.microsoft.com/office/drawing/2014/main" id="{0F648D99-9984-CEA8-8D88-A9D7E4394708}"/>
            </a:ext>
          </a:extLst>
        </xdr:cNvPr>
        <xdr:cNvSpPr/>
      </xdr:nvSpPr>
      <xdr:spPr>
        <a:xfrm>
          <a:off x="4653687" y="114357"/>
          <a:ext cx="1345379" cy="1554051"/>
        </a:xfrm>
        <a:prstGeom prst="roundRect">
          <a:avLst>
            <a:gd name="adj" fmla="val 7107"/>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566983</xdr:colOff>
      <xdr:row>0</xdr:row>
      <xdr:rowOff>114357</xdr:rowOff>
    </xdr:from>
    <xdr:to>
      <xdr:col>12</xdr:col>
      <xdr:colOff>93821</xdr:colOff>
      <xdr:row>9</xdr:row>
      <xdr:rowOff>16481</xdr:rowOff>
    </xdr:to>
    <xdr:sp macro="" textlink="">
      <xdr:nvSpPr>
        <xdr:cNvPr id="6" name="Rectangle: Rounded Corners 5">
          <a:extLst>
            <a:ext uri="{FF2B5EF4-FFF2-40B4-BE49-F238E27FC236}">
              <a16:creationId xmlns:a16="http://schemas.microsoft.com/office/drawing/2014/main" id="{B18E60DC-11A9-8072-226B-B07804876137}"/>
            </a:ext>
          </a:extLst>
        </xdr:cNvPr>
        <xdr:cNvSpPr/>
      </xdr:nvSpPr>
      <xdr:spPr>
        <a:xfrm>
          <a:off x="6053383" y="114357"/>
          <a:ext cx="1355638" cy="1534981"/>
        </a:xfrm>
        <a:prstGeom prst="roundRect">
          <a:avLst>
            <a:gd name="adj" fmla="val 7107"/>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368776</xdr:colOff>
      <xdr:row>9</xdr:row>
      <xdr:rowOff>82487</xdr:rowOff>
    </xdr:from>
    <xdr:to>
      <xdr:col>12</xdr:col>
      <xdr:colOff>107518</xdr:colOff>
      <xdr:row>17</xdr:row>
      <xdr:rowOff>59870</xdr:rowOff>
    </xdr:to>
    <xdr:sp macro="" textlink="">
      <xdr:nvSpPr>
        <xdr:cNvPr id="7" name="Rectangle: Rounded Corners 6">
          <a:extLst>
            <a:ext uri="{FF2B5EF4-FFF2-40B4-BE49-F238E27FC236}">
              <a16:creationId xmlns:a16="http://schemas.microsoft.com/office/drawing/2014/main" id="{AFCC4775-0138-E69D-87BB-2E99CE5F63E9}"/>
            </a:ext>
          </a:extLst>
        </xdr:cNvPr>
        <xdr:cNvSpPr/>
      </xdr:nvSpPr>
      <xdr:spPr>
        <a:xfrm>
          <a:off x="4651001" y="1724543"/>
          <a:ext cx="2797475" cy="1436989"/>
        </a:xfrm>
        <a:prstGeom prst="roundRect">
          <a:avLst>
            <a:gd name="adj" fmla="val 7107"/>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87087</xdr:colOff>
      <xdr:row>3</xdr:row>
      <xdr:rowOff>118653</xdr:rowOff>
    </xdr:from>
    <xdr:to>
      <xdr:col>1</xdr:col>
      <xdr:colOff>240031</xdr:colOff>
      <xdr:row>17</xdr:row>
      <xdr:rowOff>64033</xdr:rowOff>
    </xdr:to>
    <xdr:sp macro="" textlink="">
      <xdr:nvSpPr>
        <xdr:cNvPr id="13" name="Rectangle: Rounded Corners 12">
          <a:extLst>
            <a:ext uri="{FF2B5EF4-FFF2-40B4-BE49-F238E27FC236}">
              <a16:creationId xmlns:a16="http://schemas.microsoft.com/office/drawing/2014/main" id="{523A9DF2-351F-1303-C942-727F7E2E7C83}"/>
            </a:ext>
          </a:extLst>
        </xdr:cNvPr>
        <xdr:cNvSpPr/>
      </xdr:nvSpPr>
      <xdr:spPr>
        <a:xfrm>
          <a:off x="87087" y="675745"/>
          <a:ext cx="761263" cy="2545145"/>
        </a:xfrm>
        <a:prstGeom prst="roundRect">
          <a:avLst>
            <a:gd name="adj" fmla="val 715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542825</xdr:colOff>
      <xdr:row>0</xdr:row>
      <xdr:rowOff>121451</xdr:rowOff>
    </xdr:from>
    <xdr:to>
      <xdr:col>7</xdr:col>
      <xdr:colOff>305503</xdr:colOff>
      <xdr:row>3</xdr:row>
      <xdr:rowOff>69200</xdr:rowOff>
    </xdr:to>
    <xdr:sp macro="" textlink="">
      <xdr:nvSpPr>
        <xdr:cNvPr id="14" name="Rectangle: Rounded Corners 13">
          <a:extLst>
            <a:ext uri="{FF2B5EF4-FFF2-40B4-BE49-F238E27FC236}">
              <a16:creationId xmlns:a16="http://schemas.microsoft.com/office/drawing/2014/main" id="{6915F498-2B28-9AE0-74AF-13D93C797046}"/>
            </a:ext>
          </a:extLst>
        </xdr:cNvPr>
        <xdr:cNvSpPr/>
      </xdr:nvSpPr>
      <xdr:spPr>
        <a:xfrm>
          <a:off x="3597848" y="121451"/>
          <a:ext cx="984687" cy="49554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298822</xdr:colOff>
      <xdr:row>3</xdr:row>
      <xdr:rowOff>154392</xdr:rowOff>
    </xdr:from>
    <xdr:to>
      <xdr:col>7</xdr:col>
      <xdr:colOff>304800</xdr:colOff>
      <xdr:row>7</xdr:row>
      <xdr:rowOff>109568</xdr:rowOff>
    </xdr:to>
    <xdr:grpSp>
      <xdr:nvGrpSpPr>
        <xdr:cNvPr id="29" name="Group 28">
          <a:extLst>
            <a:ext uri="{FF2B5EF4-FFF2-40B4-BE49-F238E27FC236}">
              <a16:creationId xmlns:a16="http://schemas.microsoft.com/office/drawing/2014/main" id="{190D6535-EA40-0A5C-4AC9-7D5CE0C6130A}"/>
            </a:ext>
          </a:extLst>
        </xdr:cNvPr>
        <xdr:cNvGrpSpPr/>
      </xdr:nvGrpSpPr>
      <xdr:grpSpPr>
        <a:xfrm>
          <a:off x="907024" y="699676"/>
          <a:ext cx="3655189" cy="682222"/>
          <a:chOff x="908422" y="713192"/>
          <a:chExt cx="3663578" cy="700243"/>
        </a:xfrm>
        <a:solidFill>
          <a:schemeClr val="bg1">
            <a:lumMod val="95000"/>
          </a:schemeClr>
        </a:solidFill>
      </xdr:grpSpPr>
      <xdr:sp macro="" textlink="">
        <xdr:nvSpPr>
          <xdr:cNvPr id="15" name="Rectangle: Rounded Corners 14">
            <a:extLst>
              <a:ext uri="{FF2B5EF4-FFF2-40B4-BE49-F238E27FC236}">
                <a16:creationId xmlns:a16="http://schemas.microsoft.com/office/drawing/2014/main" id="{B564D1B1-CD23-F938-29B8-0FA872CA1C23}"/>
              </a:ext>
            </a:extLst>
          </xdr:cNvPr>
          <xdr:cNvSpPr/>
        </xdr:nvSpPr>
        <xdr:spPr>
          <a:xfrm>
            <a:off x="3394038" y="713192"/>
            <a:ext cx="1177962" cy="700243"/>
          </a:xfrm>
          <a:prstGeom prst="roundRect">
            <a:avLst>
              <a:gd name="adj" fmla="val 9473"/>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30C33653-055C-CE4F-AA01-24271DC30E07}"/>
              </a:ext>
            </a:extLst>
          </xdr:cNvPr>
          <xdr:cNvSpPr/>
        </xdr:nvSpPr>
        <xdr:spPr>
          <a:xfrm>
            <a:off x="2151229" y="713192"/>
            <a:ext cx="1177963" cy="700243"/>
          </a:xfrm>
          <a:prstGeom prst="roundRect">
            <a:avLst>
              <a:gd name="adj" fmla="val 9473"/>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1875CED9-1923-2E6E-DF9E-C04A15D6C024}"/>
              </a:ext>
            </a:extLst>
          </xdr:cNvPr>
          <xdr:cNvSpPr/>
        </xdr:nvSpPr>
        <xdr:spPr>
          <a:xfrm>
            <a:off x="908422" y="713192"/>
            <a:ext cx="1177962" cy="700243"/>
          </a:xfrm>
          <a:prstGeom prst="roundRect">
            <a:avLst>
              <a:gd name="adj" fmla="val 9473"/>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304682</xdr:colOff>
      <xdr:row>11</xdr:row>
      <xdr:rowOff>70438</xdr:rowOff>
    </xdr:from>
    <xdr:to>
      <xdr:col>7</xdr:col>
      <xdr:colOff>300958</xdr:colOff>
      <xdr:row>17</xdr:row>
      <xdr:rowOff>64072</xdr:rowOff>
    </xdr:to>
    <xdr:sp macro="" textlink="">
      <xdr:nvSpPr>
        <xdr:cNvPr id="22" name="Rectangle: Rounded Corners 21">
          <a:extLst>
            <a:ext uri="{FF2B5EF4-FFF2-40B4-BE49-F238E27FC236}">
              <a16:creationId xmlns:a16="http://schemas.microsoft.com/office/drawing/2014/main" id="{C9BAA468-C34E-A9C9-8C15-04831118AB04}"/>
            </a:ext>
          </a:extLst>
        </xdr:cNvPr>
        <xdr:cNvSpPr/>
      </xdr:nvSpPr>
      <xdr:spPr>
        <a:xfrm>
          <a:off x="913367" y="2084132"/>
          <a:ext cx="3648384" cy="1092012"/>
        </a:xfrm>
        <a:prstGeom prst="roundRect">
          <a:avLst>
            <a:gd name="adj" fmla="val 9473"/>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529617</xdr:colOff>
      <xdr:row>0</xdr:row>
      <xdr:rowOff>151319</xdr:rowOff>
    </xdr:from>
    <xdr:to>
      <xdr:col>6</xdr:col>
      <xdr:colOff>54041</xdr:colOff>
      <xdr:row>1</xdr:row>
      <xdr:rowOff>162127</xdr:rowOff>
    </xdr:to>
    <xdr:sp macro="" textlink="">
      <xdr:nvSpPr>
        <xdr:cNvPr id="3" name="TextBox 2">
          <a:extLst>
            <a:ext uri="{FF2B5EF4-FFF2-40B4-BE49-F238E27FC236}">
              <a16:creationId xmlns:a16="http://schemas.microsoft.com/office/drawing/2014/main" id="{EC7AB776-F4FF-C457-D07C-9359F0E82F57}"/>
            </a:ext>
          </a:extLst>
        </xdr:cNvPr>
        <xdr:cNvSpPr txBox="1"/>
      </xdr:nvSpPr>
      <xdr:spPr>
        <a:xfrm>
          <a:off x="529617" y="151319"/>
          <a:ext cx="3188509" cy="194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solidFill>
                <a:schemeClr val="tx1"/>
              </a:solidFill>
            </a:rPr>
            <a:t>Hospital Emergency</a:t>
          </a:r>
          <a:r>
            <a:rPr lang="en-IN" sz="1200" b="1" baseline="0">
              <a:solidFill>
                <a:schemeClr val="tx1"/>
              </a:solidFill>
            </a:rPr>
            <a:t> Room Dashboard</a:t>
          </a:r>
          <a:endParaRPr lang="en-IN" sz="1200" b="1">
            <a:solidFill>
              <a:schemeClr val="tx1"/>
            </a:solidFill>
          </a:endParaRPr>
        </a:p>
      </xdr:txBody>
    </xdr:sp>
    <xdr:clientData/>
  </xdr:twoCellAnchor>
  <xdr:twoCellAnchor>
    <xdr:from>
      <xdr:col>1</xdr:col>
      <xdr:colOff>267621</xdr:colOff>
      <xdr:row>2</xdr:row>
      <xdr:rowOff>6842</xdr:rowOff>
    </xdr:from>
    <xdr:to>
      <xdr:col>5</xdr:col>
      <xdr:colOff>218983</xdr:colOff>
      <xdr:row>2</xdr:row>
      <xdr:rowOff>142244</xdr:rowOff>
    </xdr:to>
    <xdr:sp macro="" textlink="">
      <xdr:nvSpPr>
        <xdr:cNvPr id="5" name="TextBox 4">
          <a:extLst>
            <a:ext uri="{FF2B5EF4-FFF2-40B4-BE49-F238E27FC236}">
              <a16:creationId xmlns:a16="http://schemas.microsoft.com/office/drawing/2014/main" id="{7BBB7C9C-B2C7-070C-7BBB-8AA8FA210527}"/>
            </a:ext>
          </a:extLst>
        </xdr:cNvPr>
        <xdr:cNvSpPr txBox="1"/>
      </xdr:nvSpPr>
      <xdr:spPr>
        <a:xfrm>
          <a:off x="878659" y="366276"/>
          <a:ext cx="2395513" cy="135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solidFill>
                <a:schemeClr val="dk1"/>
              </a:solidFill>
            </a:rPr>
            <a:t>Monthly</a:t>
          </a:r>
          <a:r>
            <a:rPr lang="en-IN" sz="800" baseline="0">
              <a:solidFill>
                <a:schemeClr val="dk1"/>
              </a:solidFill>
            </a:rPr>
            <a:t> Report</a:t>
          </a:r>
          <a:endParaRPr lang="en-IN" sz="800">
            <a:solidFill>
              <a:schemeClr val="dk1"/>
            </a:solidFill>
          </a:endParaRPr>
        </a:p>
      </xdr:txBody>
    </xdr:sp>
    <xdr:clientData/>
  </xdr:twoCellAnchor>
  <xdr:twoCellAnchor editAs="oneCell">
    <xdr:from>
      <xdr:col>0</xdr:col>
      <xdr:colOff>248595</xdr:colOff>
      <xdr:row>0</xdr:row>
      <xdr:rowOff>59447</xdr:rowOff>
    </xdr:from>
    <xdr:to>
      <xdr:col>1</xdr:col>
      <xdr:colOff>270213</xdr:colOff>
      <xdr:row>3</xdr:row>
      <xdr:rowOff>102681</xdr:rowOff>
    </xdr:to>
    <xdr:pic>
      <xdr:nvPicPr>
        <xdr:cNvPr id="10" name="Picture 9">
          <a:extLst>
            <a:ext uri="{FF2B5EF4-FFF2-40B4-BE49-F238E27FC236}">
              <a16:creationId xmlns:a16="http://schemas.microsoft.com/office/drawing/2014/main" id="{601FF75B-DE9B-1AEB-E1FF-32286C885B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098" r="17859" b="6165"/>
        <a:stretch>
          <a:fillRect/>
        </a:stretch>
      </xdr:blipFill>
      <xdr:spPr>
        <a:xfrm>
          <a:off x="248595" y="59447"/>
          <a:ext cx="632299" cy="594468"/>
        </a:xfrm>
        <a:prstGeom prst="rect">
          <a:avLst/>
        </a:prstGeom>
      </xdr:spPr>
    </xdr:pic>
    <xdr:clientData/>
  </xdr:twoCellAnchor>
  <xdr:twoCellAnchor>
    <xdr:from>
      <xdr:col>1</xdr:col>
      <xdr:colOff>302778</xdr:colOff>
      <xdr:row>5</xdr:row>
      <xdr:rowOff>114205</xdr:rowOff>
    </xdr:from>
    <xdr:to>
      <xdr:col>3</xdr:col>
      <xdr:colOff>252365</xdr:colOff>
      <xdr:row>6</xdr:row>
      <xdr:rowOff>91507</xdr:rowOff>
    </xdr:to>
    <xdr:sp macro="" textlink="">
      <xdr:nvSpPr>
        <xdr:cNvPr id="31" name="TextBox 30">
          <a:extLst>
            <a:ext uri="{FF2B5EF4-FFF2-40B4-BE49-F238E27FC236}">
              <a16:creationId xmlns:a16="http://schemas.microsoft.com/office/drawing/2014/main" id="{FDAFAE7A-C646-D015-65A7-AD57F0FB36E5}"/>
            </a:ext>
          </a:extLst>
        </xdr:cNvPr>
        <xdr:cNvSpPr txBox="1"/>
      </xdr:nvSpPr>
      <xdr:spPr>
        <a:xfrm>
          <a:off x="912868" y="1033015"/>
          <a:ext cx="1169767" cy="161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solidFill>
                <a:schemeClr val="dk1"/>
              </a:solidFill>
            </a:rPr>
            <a:t>No.of</a:t>
          </a:r>
          <a:r>
            <a:rPr lang="en-IN" sz="800" baseline="0">
              <a:solidFill>
                <a:schemeClr val="dk1"/>
              </a:solidFill>
            </a:rPr>
            <a:t> Patients</a:t>
          </a:r>
          <a:endParaRPr lang="en-IN" sz="800">
            <a:solidFill>
              <a:schemeClr val="dk1"/>
            </a:solidFill>
          </a:endParaRPr>
        </a:p>
      </xdr:txBody>
    </xdr:sp>
    <xdr:clientData/>
  </xdr:twoCellAnchor>
  <xdr:twoCellAnchor>
    <xdr:from>
      <xdr:col>1</xdr:col>
      <xdr:colOff>302778</xdr:colOff>
      <xdr:row>4</xdr:row>
      <xdr:rowOff>79903</xdr:rowOff>
    </xdr:from>
    <xdr:to>
      <xdr:col>3</xdr:col>
      <xdr:colOff>252365</xdr:colOff>
      <xdr:row>5</xdr:row>
      <xdr:rowOff>57205</xdr:rowOff>
    </xdr:to>
    <xdr:sp macro="" textlink="'Pivot Report'!A6">
      <xdr:nvSpPr>
        <xdr:cNvPr id="33" name="TextBox 32">
          <a:extLst>
            <a:ext uri="{FF2B5EF4-FFF2-40B4-BE49-F238E27FC236}">
              <a16:creationId xmlns:a16="http://schemas.microsoft.com/office/drawing/2014/main" id="{90326EF9-A5C4-A1AB-8587-71ABF0D872ED}"/>
            </a:ext>
          </a:extLst>
        </xdr:cNvPr>
        <xdr:cNvSpPr txBox="1"/>
      </xdr:nvSpPr>
      <xdr:spPr>
        <a:xfrm>
          <a:off x="912868" y="814951"/>
          <a:ext cx="1169767" cy="161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4316D7A-F373-4F25-8399-8E04A786000F}" type="TxLink">
            <a:rPr lang="en-US" sz="1100" b="0" i="0" u="none" strike="noStrike">
              <a:solidFill>
                <a:srgbClr val="000000"/>
              </a:solidFill>
              <a:latin typeface="Calibri"/>
              <a:ea typeface="Calibri"/>
              <a:cs typeface="Calibri"/>
            </a:rPr>
            <a:pPr algn="ctr"/>
            <a:t>480</a:t>
          </a:fld>
          <a:endParaRPr lang="en-IN" sz="800">
            <a:solidFill>
              <a:schemeClr val="dk1"/>
            </a:solidFill>
          </a:endParaRPr>
        </a:p>
      </xdr:txBody>
    </xdr:sp>
    <xdr:clientData/>
  </xdr:twoCellAnchor>
  <xdr:twoCellAnchor>
    <xdr:from>
      <xdr:col>3</xdr:col>
      <xdr:colOff>328521</xdr:colOff>
      <xdr:row>5</xdr:row>
      <xdr:rowOff>114205</xdr:rowOff>
    </xdr:from>
    <xdr:to>
      <xdr:col>5</xdr:col>
      <xdr:colOff>278108</xdr:colOff>
      <xdr:row>6</xdr:row>
      <xdr:rowOff>91507</xdr:rowOff>
    </xdr:to>
    <xdr:sp macro="" textlink="">
      <xdr:nvSpPr>
        <xdr:cNvPr id="34" name="TextBox 33">
          <a:extLst>
            <a:ext uri="{FF2B5EF4-FFF2-40B4-BE49-F238E27FC236}">
              <a16:creationId xmlns:a16="http://schemas.microsoft.com/office/drawing/2014/main" id="{FA01BC81-9E5F-4258-6B79-D7CE95FC7B60}"/>
            </a:ext>
          </a:extLst>
        </xdr:cNvPr>
        <xdr:cNvSpPr txBox="1"/>
      </xdr:nvSpPr>
      <xdr:spPr>
        <a:xfrm>
          <a:off x="2151143" y="1040962"/>
          <a:ext cx="1164668" cy="16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solidFill>
                <a:schemeClr val="dk1"/>
              </a:solidFill>
            </a:rPr>
            <a:t>Average</a:t>
          </a:r>
          <a:r>
            <a:rPr lang="en-IN" sz="800" baseline="0">
              <a:solidFill>
                <a:schemeClr val="dk1"/>
              </a:solidFill>
            </a:rPr>
            <a:t> Waiting Time	</a:t>
          </a:r>
          <a:endParaRPr lang="en-IN" sz="800">
            <a:solidFill>
              <a:schemeClr val="dk1"/>
            </a:solidFill>
          </a:endParaRPr>
        </a:p>
      </xdr:txBody>
    </xdr:sp>
    <xdr:clientData/>
  </xdr:twoCellAnchor>
  <xdr:twoCellAnchor>
    <xdr:from>
      <xdr:col>3</xdr:col>
      <xdr:colOff>328521</xdr:colOff>
      <xdr:row>4</xdr:row>
      <xdr:rowOff>79903</xdr:rowOff>
    </xdr:from>
    <xdr:to>
      <xdr:col>5</xdr:col>
      <xdr:colOff>278108</xdr:colOff>
      <xdr:row>5</xdr:row>
      <xdr:rowOff>57205</xdr:rowOff>
    </xdr:to>
    <xdr:sp macro="" textlink="'Pivot Report'!A10">
      <xdr:nvSpPr>
        <xdr:cNvPr id="35" name="TextBox 34">
          <a:extLst>
            <a:ext uri="{FF2B5EF4-FFF2-40B4-BE49-F238E27FC236}">
              <a16:creationId xmlns:a16="http://schemas.microsoft.com/office/drawing/2014/main" id="{54BBF12F-BBAB-D996-D9F1-0868E1AFB618}"/>
            </a:ext>
          </a:extLst>
        </xdr:cNvPr>
        <xdr:cNvSpPr txBox="1"/>
      </xdr:nvSpPr>
      <xdr:spPr>
        <a:xfrm>
          <a:off x="2151143" y="821308"/>
          <a:ext cx="1164668" cy="162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3716CDC-7B68-482B-AABB-C8779A2AE322}" type="TxLink">
            <a:rPr lang="en-US" sz="1100" b="0" i="0" u="none" strike="noStrike">
              <a:solidFill>
                <a:srgbClr val="000000"/>
              </a:solidFill>
              <a:latin typeface="Calibri"/>
              <a:ea typeface="Calibri"/>
              <a:cs typeface="Calibri"/>
            </a:rPr>
            <a:pPr algn="ctr"/>
            <a:t>34.43</a:t>
          </a:fld>
          <a:endParaRPr lang="en-IN" sz="800">
            <a:solidFill>
              <a:schemeClr val="dk1"/>
            </a:solidFill>
          </a:endParaRPr>
        </a:p>
      </xdr:txBody>
    </xdr:sp>
    <xdr:clientData/>
  </xdr:twoCellAnchor>
  <xdr:twoCellAnchor>
    <xdr:from>
      <xdr:col>5</xdr:col>
      <xdr:colOff>354264</xdr:colOff>
      <xdr:row>5</xdr:row>
      <xdr:rowOff>114205</xdr:rowOff>
    </xdr:from>
    <xdr:to>
      <xdr:col>7</xdr:col>
      <xdr:colOff>303851</xdr:colOff>
      <xdr:row>6</xdr:row>
      <xdr:rowOff>91507</xdr:rowOff>
    </xdr:to>
    <xdr:sp macro="" textlink="">
      <xdr:nvSpPr>
        <xdr:cNvPr id="36" name="TextBox 35">
          <a:extLst>
            <a:ext uri="{FF2B5EF4-FFF2-40B4-BE49-F238E27FC236}">
              <a16:creationId xmlns:a16="http://schemas.microsoft.com/office/drawing/2014/main" id="{3E17894D-6ABD-01C8-2923-E6CD85F01782}"/>
            </a:ext>
          </a:extLst>
        </xdr:cNvPr>
        <xdr:cNvSpPr txBox="1"/>
      </xdr:nvSpPr>
      <xdr:spPr>
        <a:xfrm>
          <a:off x="3391967" y="1040962"/>
          <a:ext cx="1164668" cy="16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solidFill>
                <a:schemeClr val="dk1"/>
              </a:solidFill>
            </a:rPr>
            <a:t>Patient</a:t>
          </a:r>
          <a:r>
            <a:rPr lang="en-IN" sz="800" baseline="0">
              <a:solidFill>
                <a:schemeClr val="dk1"/>
              </a:solidFill>
            </a:rPr>
            <a:t> Satisfaction Score</a:t>
          </a:r>
          <a:endParaRPr lang="en-IN" sz="800">
            <a:solidFill>
              <a:schemeClr val="dk1"/>
            </a:solidFill>
          </a:endParaRPr>
        </a:p>
      </xdr:txBody>
    </xdr:sp>
    <xdr:clientData/>
  </xdr:twoCellAnchor>
  <xdr:twoCellAnchor>
    <xdr:from>
      <xdr:col>5</xdr:col>
      <xdr:colOff>354264</xdr:colOff>
      <xdr:row>4</xdr:row>
      <xdr:rowOff>79903</xdr:rowOff>
    </xdr:from>
    <xdr:to>
      <xdr:col>7</xdr:col>
      <xdr:colOff>303851</xdr:colOff>
      <xdr:row>5</xdr:row>
      <xdr:rowOff>57205</xdr:rowOff>
    </xdr:to>
    <xdr:sp macro="" textlink="'Pivot Report'!A15">
      <xdr:nvSpPr>
        <xdr:cNvPr id="37" name="TextBox 36">
          <a:extLst>
            <a:ext uri="{FF2B5EF4-FFF2-40B4-BE49-F238E27FC236}">
              <a16:creationId xmlns:a16="http://schemas.microsoft.com/office/drawing/2014/main" id="{CFBA6DB6-E346-EB08-6F4F-F70DCD311AD4}"/>
            </a:ext>
          </a:extLst>
        </xdr:cNvPr>
        <xdr:cNvSpPr txBox="1"/>
      </xdr:nvSpPr>
      <xdr:spPr>
        <a:xfrm>
          <a:off x="3391967" y="821308"/>
          <a:ext cx="1164668" cy="162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4ACAF2B-9514-4135-8DF3-4AAF6DFB71DE}" type="TxLink">
            <a:rPr lang="en-US" sz="1100" b="0" i="0" u="none" strike="noStrike">
              <a:solidFill>
                <a:srgbClr val="000000"/>
              </a:solidFill>
              <a:latin typeface="Calibri"/>
              <a:ea typeface="Calibri"/>
              <a:cs typeface="Calibri"/>
            </a:rPr>
            <a:pPr algn="ctr"/>
            <a:t>5.16</a:t>
          </a:fld>
          <a:endParaRPr lang="en-IN" sz="800">
            <a:solidFill>
              <a:schemeClr val="dk1"/>
            </a:solidFill>
          </a:endParaRPr>
        </a:p>
      </xdr:txBody>
    </xdr:sp>
    <xdr:clientData/>
  </xdr:twoCellAnchor>
  <xdr:twoCellAnchor editAs="oneCell">
    <xdr:from>
      <xdr:col>2</xdr:col>
      <xdr:colOff>597243</xdr:colOff>
      <xdr:row>3</xdr:row>
      <xdr:rowOff>183291</xdr:rowOff>
    </xdr:from>
    <xdr:to>
      <xdr:col>3</xdr:col>
      <xdr:colOff>236837</xdr:colOff>
      <xdr:row>5</xdr:row>
      <xdr:rowOff>59723</xdr:rowOff>
    </xdr:to>
    <xdr:pic>
      <xdr:nvPicPr>
        <xdr:cNvPr id="39" name="Graphic 38" descr="Male profile with solid fill">
          <a:extLst>
            <a:ext uri="{FF2B5EF4-FFF2-40B4-BE49-F238E27FC236}">
              <a16:creationId xmlns:a16="http://schemas.microsoft.com/office/drawing/2014/main" id="{177172D1-2BC3-CE24-B5B9-60AE959C262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12324" y="739345"/>
          <a:ext cx="247135" cy="247135"/>
        </a:xfrm>
        <a:prstGeom prst="rect">
          <a:avLst/>
        </a:prstGeom>
      </xdr:spPr>
    </xdr:pic>
    <xdr:clientData/>
  </xdr:twoCellAnchor>
  <xdr:twoCellAnchor editAs="oneCell">
    <xdr:from>
      <xdr:col>7</xdr:col>
      <xdr:colOff>61783</xdr:colOff>
      <xdr:row>3</xdr:row>
      <xdr:rowOff>169905</xdr:rowOff>
    </xdr:from>
    <xdr:to>
      <xdr:col>7</xdr:col>
      <xdr:colOff>262580</xdr:colOff>
      <xdr:row>5</xdr:row>
      <xdr:rowOff>4878</xdr:rowOff>
    </xdr:to>
    <xdr:pic>
      <xdr:nvPicPr>
        <xdr:cNvPr id="41" name="Graphic 40" descr="Star with solid fill">
          <a:extLst>
            <a:ext uri="{FF2B5EF4-FFF2-40B4-BE49-F238E27FC236}">
              <a16:creationId xmlns:a16="http://schemas.microsoft.com/office/drawing/2014/main" id="{77915BA2-B903-272C-6C7E-C208DF7423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14567" y="725959"/>
          <a:ext cx="200797" cy="200797"/>
        </a:xfrm>
        <a:prstGeom prst="rect">
          <a:avLst/>
        </a:prstGeom>
      </xdr:spPr>
    </xdr:pic>
    <xdr:clientData/>
  </xdr:twoCellAnchor>
  <xdr:twoCellAnchor editAs="oneCell">
    <xdr:from>
      <xdr:col>5</xdr:col>
      <xdr:colOff>41878</xdr:colOff>
      <xdr:row>4</xdr:row>
      <xdr:rowOff>690</xdr:rowOff>
    </xdr:from>
    <xdr:to>
      <xdr:col>5</xdr:col>
      <xdr:colOff>252283</xdr:colOff>
      <xdr:row>5</xdr:row>
      <xdr:rowOff>25743</xdr:rowOff>
    </xdr:to>
    <xdr:pic>
      <xdr:nvPicPr>
        <xdr:cNvPr id="43" name="Graphic 42" descr="Hourglass Finished with solid fill">
          <a:extLst>
            <a:ext uri="{FF2B5EF4-FFF2-40B4-BE49-F238E27FC236}">
              <a16:creationId xmlns:a16="http://schemas.microsoft.com/office/drawing/2014/main" id="{40FA2652-3DB4-6B37-75B4-ED5760197F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79581" y="742095"/>
          <a:ext cx="210405" cy="210405"/>
        </a:xfrm>
        <a:prstGeom prst="rect">
          <a:avLst/>
        </a:prstGeom>
      </xdr:spPr>
    </xdr:pic>
    <xdr:clientData/>
  </xdr:twoCellAnchor>
  <xdr:twoCellAnchor editAs="oneCell">
    <xdr:from>
      <xdr:col>0</xdr:col>
      <xdr:colOff>144520</xdr:colOff>
      <xdr:row>4</xdr:row>
      <xdr:rowOff>0</xdr:rowOff>
    </xdr:from>
    <xdr:to>
      <xdr:col>1</xdr:col>
      <xdr:colOff>190499</xdr:colOff>
      <xdr:row>17</xdr:row>
      <xdr:rowOff>6569</xdr:rowOff>
    </xdr:to>
    <mc:AlternateContent xmlns:mc="http://schemas.openxmlformats.org/markup-compatibility/2006" xmlns:a14="http://schemas.microsoft.com/office/drawing/2010/main">
      <mc:Choice Requires="a14">
        <xdr:graphicFrame macro="">
          <xdr:nvGraphicFramePr>
            <xdr:cNvPr id="44" name="Date (Month) 1">
              <a:extLst>
                <a:ext uri="{FF2B5EF4-FFF2-40B4-BE49-F238E27FC236}">
                  <a16:creationId xmlns:a16="http://schemas.microsoft.com/office/drawing/2014/main" id="{ADCC7EBD-5699-4E16-B544-67A3A6E5D91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44520" y="733353"/>
              <a:ext cx="653287" cy="2389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182217</xdr:colOff>
      <xdr:row>4</xdr:row>
      <xdr:rowOff>175590</xdr:rowOff>
    </xdr:from>
    <xdr:to>
      <xdr:col>3</xdr:col>
      <xdr:colOff>374373</xdr:colOff>
      <xdr:row>8</xdr:row>
      <xdr:rowOff>59635</xdr:rowOff>
    </xdr:to>
    <xdr:graphicFrame macro="">
      <xdr:nvGraphicFramePr>
        <xdr:cNvPr id="45" name="Chart 44">
          <a:hlinkClick xmlns:r="http://schemas.openxmlformats.org/officeDocument/2006/relationships" r:id="rId8"/>
          <a:extLst>
            <a:ext uri="{FF2B5EF4-FFF2-40B4-BE49-F238E27FC236}">
              <a16:creationId xmlns:a16="http://schemas.microsoft.com/office/drawing/2014/main" id="{E1C62253-477E-4055-9BFF-3C5F2440A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352137</xdr:colOff>
      <xdr:row>5</xdr:row>
      <xdr:rowOff>173182</xdr:rowOff>
    </xdr:from>
    <xdr:to>
      <xdr:col>7</xdr:col>
      <xdr:colOff>274349</xdr:colOff>
      <xdr:row>7</xdr:row>
      <xdr:rowOff>102512</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74445B73-C382-42B1-BFA2-AE19EA296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317105</xdr:colOff>
      <xdr:row>6</xdr:row>
      <xdr:rowOff>56795</xdr:rowOff>
    </xdr:from>
    <xdr:to>
      <xdr:col>5</xdr:col>
      <xdr:colOff>236645</xdr:colOff>
      <xdr:row>7</xdr:row>
      <xdr:rowOff>165653</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2EEAF984-E598-4191-AAA2-BBBDF8D63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307074</xdr:colOff>
          <xdr:row>8</xdr:row>
          <xdr:rowOff>8514</xdr:rowOff>
        </xdr:from>
        <xdr:to>
          <xdr:col>7</xdr:col>
          <xdr:colOff>317844</xdr:colOff>
          <xdr:row>10</xdr:row>
          <xdr:rowOff>174628</xdr:rowOff>
        </xdr:to>
        <xdr:pic>
          <xdr:nvPicPr>
            <xdr:cNvPr id="12" name="Picture 11">
              <a:extLst>
                <a:ext uri="{FF2B5EF4-FFF2-40B4-BE49-F238E27FC236}">
                  <a16:creationId xmlns:a16="http://schemas.microsoft.com/office/drawing/2014/main" id="{D67FA8A0-9E87-E546-8F77-E4DF7CFE1FCC}"/>
                </a:ext>
              </a:extLst>
            </xdr:cNvPr>
            <xdr:cNvPicPr>
              <a:picLocks noChangeAspect="1" noChangeArrowheads="1"/>
              <a:extLst>
                <a:ext uri="{84589F7E-364E-4C9E-8A38-B11213B215E9}">
                  <a14:cameraTool cellRange="'Pivot Report'!$A$49:$D$51" spid="_x0000_s1041"/>
                </a:ext>
              </a:extLst>
            </xdr:cNvPicPr>
          </xdr:nvPicPr>
          <xdr:blipFill>
            <a:blip xmlns:r="http://schemas.openxmlformats.org/officeDocument/2006/relationships" r:embed="rId14"/>
            <a:srcRect/>
            <a:stretch>
              <a:fillRect/>
            </a:stretch>
          </xdr:blipFill>
          <xdr:spPr bwMode="auto">
            <a:xfrm>
              <a:off x="915823" y="1472916"/>
              <a:ext cx="3663261" cy="532215"/>
            </a:xfrm>
            <a:prstGeom prst="roundRect">
              <a:avLst>
                <a:gd name="adj" fmla="val 16667"/>
              </a:avLst>
            </a:prstGeom>
            <a:solidFill>
              <a:schemeClr val="bg1">
                <a:lumMod val="95000"/>
              </a:schemeClr>
            </a:solidFill>
            <a:ln>
              <a:noFill/>
            </a:ln>
            <a:effectLst>
              <a:outerShdw blurRad="76200" dist="38100" dir="7800000" algn="tl" rotWithShape="0">
                <a:srgbClr val="000000">
                  <a:alpha val="40000"/>
                </a:srgbClr>
              </a:outerShdw>
            </a:effectLst>
          </xdr:spPr>
        </xdr:pic>
        <xdr:clientData/>
      </xdr:twoCellAnchor>
    </mc:Choice>
    <mc:Fallback/>
  </mc:AlternateContent>
  <xdr:twoCellAnchor>
    <xdr:from>
      <xdr:col>1</xdr:col>
      <xdr:colOff>571951</xdr:colOff>
      <xdr:row>11</xdr:row>
      <xdr:rowOff>44939</xdr:rowOff>
    </xdr:from>
    <xdr:to>
      <xdr:col>7</xdr:col>
      <xdr:colOff>84925</xdr:colOff>
      <xdr:row>16</xdr:row>
      <xdr:rowOff>111995</xdr:rowOff>
    </xdr:to>
    <xdr:graphicFrame macro="">
      <xdr:nvGraphicFramePr>
        <xdr:cNvPr id="16" name="Chart 15">
          <a:extLst>
            <a:ext uri="{FF2B5EF4-FFF2-40B4-BE49-F238E27FC236}">
              <a16:creationId xmlns:a16="http://schemas.microsoft.com/office/drawing/2014/main" id="{94F4978B-53B2-45A0-A0B3-A3132B43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537119</xdr:colOff>
      <xdr:row>16</xdr:row>
      <xdr:rowOff>100484</xdr:rowOff>
    </xdr:from>
    <xdr:to>
      <xdr:col>5</xdr:col>
      <xdr:colOff>133979</xdr:colOff>
      <xdr:row>17</xdr:row>
      <xdr:rowOff>22318</xdr:rowOff>
    </xdr:to>
    <xdr:sp macro="" textlink="">
      <xdr:nvSpPr>
        <xdr:cNvPr id="25" name="TextBox 24">
          <a:extLst>
            <a:ext uri="{FF2B5EF4-FFF2-40B4-BE49-F238E27FC236}">
              <a16:creationId xmlns:a16="http://schemas.microsoft.com/office/drawing/2014/main" id="{D57987DC-DA21-472D-A7FE-B032C15E57CF}"/>
            </a:ext>
          </a:extLst>
        </xdr:cNvPr>
        <xdr:cNvSpPr txBox="1"/>
      </xdr:nvSpPr>
      <xdr:spPr>
        <a:xfrm>
          <a:off x="2370943" y="3048000"/>
          <a:ext cx="819410" cy="10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solidFill>
                <a:schemeClr val="dk1"/>
              </a:solidFill>
            </a:rPr>
            <a:t>Age Group</a:t>
          </a:r>
        </a:p>
        <a:p>
          <a:pPr algn="ctr"/>
          <a:endParaRPr lang="en-IN" sz="800">
            <a:solidFill>
              <a:schemeClr val="dk1"/>
            </a:solidFill>
          </a:endParaRPr>
        </a:p>
      </xdr:txBody>
    </xdr:sp>
    <xdr:clientData/>
  </xdr:twoCellAnchor>
  <xdr:twoCellAnchor>
    <xdr:from>
      <xdr:col>7</xdr:col>
      <xdr:colOff>172423</xdr:colOff>
      <xdr:row>0</xdr:row>
      <xdr:rowOff>0</xdr:rowOff>
    </xdr:from>
    <xdr:to>
      <xdr:col>10</xdr:col>
      <xdr:colOff>239168</xdr:colOff>
      <xdr:row>8</xdr:row>
      <xdr:rowOff>105677</xdr:rowOff>
    </xdr:to>
    <xdr:graphicFrame macro="">
      <xdr:nvGraphicFramePr>
        <xdr:cNvPr id="8" name="Chart 7">
          <a:extLst>
            <a:ext uri="{FF2B5EF4-FFF2-40B4-BE49-F238E27FC236}">
              <a16:creationId xmlns:a16="http://schemas.microsoft.com/office/drawing/2014/main" id="{B3F91D9E-6560-4696-8E75-31917AF9B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593835</xdr:colOff>
      <xdr:row>8</xdr:row>
      <xdr:rowOff>42809</xdr:rowOff>
    </xdr:from>
    <xdr:to>
      <xdr:col>9</xdr:col>
      <xdr:colOff>394138</xdr:colOff>
      <xdr:row>9</xdr:row>
      <xdr:rowOff>11278</xdr:rowOff>
    </xdr:to>
    <xdr:sp macro="" textlink="">
      <xdr:nvSpPr>
        <xdr:cNvPr id="17" name="TextBox 16">
          <a:extLst>
            <a:ext uri="{FF2B5EF4-FFF2-40B4-BE49-F238E27FC236}">
              <a16:creationId xmlns:a16="http://schemas.microsoft.com/office/drawing/2014/main" id="{5277FAA5-E7A1-4C5D-BEEB-52EE05010185}"/>
            </a:ext>
          </a:extLst>
        </xdr:cNvPr>
        <xdr:cNvSpPr txBox="1"/>
      </xdr:nvSpPr>
      <xdr:spPr>
        <a:xfrm>
          <a:off x="4866214" y="1492828"/>
          <a:ext cx="1020982" cy="149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b="1" baseline="0">
              <a:solidFill>
                <a:schemeClr val="dk1"/>
              </a:solidFill>
            </a:rPr>
            <a:t>Patient Attend Status </a:t>
          </a:r>
        </a:p>
        <a:p>
          <a:pPr algn="ctr"/>
          <a:r>
            <a:rPr lang="en-IN" sz="600" b="1" baseline="0">
              <a:solidFill>
                <a:schemeClr val="dk1"/>
              </a:solidFill>
            </a:rPr>
            <a:t>	</a:t>
          </a:r>
          <a:endParaRPr lang="en-IN" sz="600" b="1">
            <a:solidFill>
              <a:schemeClr val="dk1"/>
            </a:solidFill>
          </a:endParaRPr>
        </a:p>
      </xdr:txBody>
    </xdr:sp>
    <xdr:clientData/>
  </xdr:twoCellAnchor>
  <xdr:twoCellAnchor>
    <xdr:from>
      <xdr:col>9</xdr:col>
      <xdr:colOff>424034</xdr:colOff>
      <xdr:row>0</xdr:row>
      <xdr:rowOff>87367</xdr:rowOff>
    </xdr:from>
    <xdr:to>
      <xdr:col>12</xdr:col>
      <xdr:colOff>258431</xdr:colOff>
      <xdr:row>7</xdr:row>
      <xdr:rowOff>155075</xdr:rowOff>
    </xdr:to>
    <xdr:graphicFrame macro="">
      <xdr:nvGraphicFramePr>
        <xdr:cNvPr id="20" name="Chart 19">
          <a:extLst>
            <a:ext uri="{FF2B5EF4-FFF2-40B4-BE49-F238E27FC236}">
              <a16:creationId xmlns:a16="http://schemas.microsoft.com/office/drawing/2014/main" id="{BFFEDC53-DA57-4274-8FEF-64CCBD58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136202</xdr:colOff>
      <xdr:row>8</xdr:row>
      <xdr:rowOff>44174</xdr:rowOff>
    </xdr:from>
    <xdr:to>
      <xdr:col>11</xdr:col>
      <xdr:colOff>474869</xdr:colOff>
      <xdr:row>8</xdr:row>
      <xdr:rowOff>143565</xdr:rowOff>
    </xdr:to>
    <xdr:sp macro="" textlink="">
      <xdr:nvSpPr>
        <xdr:cNvPr id="23" name="TextBox 22">
          <a:extLst>
            <a:ext uri="{FF2B5EF4-FFF2-40B4-BE49-F238E27FC236}">
              <a16:creationId xmlns:a16="http://schemas.microsoft.com/office/drawing/2014/main" id="{C98747E1-99CC-4B60-A09A-2EA2F02251EA}"/>
            </a:ext>
          </a:extLst>
        </xdr:cNvPr>
        <xdr:cNvSpPr txBox="1"/>
      </xdr:nvSpPr>
      <xdr:spPr>
        <a:xfrm>
          <a:off x="6246927" y="1516638"/>
          <a:ext cx="949739" cy="99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b="1" baseline="0">
              <a:solidFill>
                <a:schemeClr val="dk1"/>
              </a:solidFill>
            </a:rPr>
            <a:t>Gender Wise analysis</a:t>
          </a:r>
        </a:p>
        <a:p>
          <a:pPr algn="ctr"/>
          <a:endParaRPr lang="en-IN" sz="600" b="1" baseline="0">
            <a:solidFill>
              <a:schemeClr val="dk1"/>
            </a:solidFill>
          </a:endParaRPr>
        </a:p>
        <a:p>
          <a:pPr algn="ctr"/>
          <a:endParaRPr lang="en-IN" sz="600" b="1">
            <a:solidFill>
              <a:schemeClr val="dk1"/>
            </a:solidFill>
          </a:endParaRPr>
        </a:p>
      </xdr:txBody>
    </xdr:sp>
    <xdr:clientData/>
  </xdr:twoCellAnchor>
  <xdr:twoCellAnchor>
    <xdr:from>
      <xdr:col>7</xdr:col>
      <xdr:colOff>381243</xdr:colOff>
      <xdr:row>9</xdr:row>
      <xdr:rowOff>38528</xdr:rowOff>
    </xdr:from>
    <xdr:to>
      <xdr:col>11</xdr:col>
      <xdr:colOff>547955</xdr:colOff>
      <xdr:row>16</xdr:row>
      <xdr:rowOff>5548</xdr:rowOff>
    </xdr:to>
    <xdr:graphicFrame macro="">
      <xdr:nvGraphicFramePr>
        <xdr:cNvPr id="24" name="Chart 23">
          <a:extLst>
            <a:ext uri="{FF2B5EF4-FFF2-40B4-BE49-F238E27FC236}">
              <a16:creationId xmlns:a16="http://schemas.microsoft.com/office/drawing/2014/main" id="{3F40E403-50A4-4BE7-940B-E3AD84807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524870</xdr:colOff>
      <xdr:row>16</xdr:row>
      <xdr:rowOff>39216</xdr:rowOff>
    </xdr:from>
    <xdr:to>
      <xdr:col>10</xdr:col>
      <xdr:colOff>573570</xdr:colOff>
      <xdr:row>17</xdr:row>
      <xdr:rowOff>7686</xdr:rowOff>
    </xdr:to>
    <xdr:sp macro="" textlink="">
      <xdr:nvSpPr>
        <xdr:cNvPr id="26" name="TextBox 25">
          <a:extLst>
            <a:ext uri="{FF2B5EF4-FFF2-40B4-BE49-F238E27FC236}">
              <a16:creationId xmlns:a16="http://schemas.microsoft.com/office/drawing/2014/main" id="{AEFC7CD0-25CB-4CD1-972F-4785401487B0}"/>
            </a:ext>
          </a:extLst>
        </xdr:cNvPr>
        <xdr:cNvSpPr txBox="1"/>
      </xdr:nvSpPr>
      <xdr:spPr>
        <a:xfrm>
          <a:off x="5411346" y="2942073"/>
          <a:ext cx="1270319" cy="149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b="1" baseline="0">
              <a:solidFill>
                <a:schemeClr val="dk1"/>
              </a:solidFill>
            </a:rPr>
            <a:t>No. of Patient by Department referal	</a:t>
          </a:r>
          <a:endParaRPr lang="en-IN" sz="600" b="1">
            <a:solidFill>
              <a:schemeClr val="dk1"/>
            </a:solidFill>
          </a:endParaRPr>
        </a:p>
      </xdr:txBody>
    </xdr:sp>
    <xdr:clientData/>
  </xdr:twoCellAnchor>
  <xdr:twoCellAnchor editAs="absolute">
    <xdr:from>
      <xdr:col>5</xdr:col>
      <xdr:colOff>547982</xdr:colOff>
      <xdr:row>1</xdr:row>
      <xdr:rowOff>44495</xdr:rowOff>
    </xdr:from>
    <xdr:to>
      <xdr:col>7</xdr:col>
      <xdr:colOff>299085</xdr:colOff>
      <xdr:row>2</xdr:row>
      <xdr:rowOff>161925</xdr:rowOff>
    </xdr:to>
    <mc:AlternateContent xmlns:mc="http://schemas.openxmlformats.org/markup-compatibility/2006" xmlns:a14="http://schemas.microsoft.com/office/drawing/2010/main">
      <mc:Choice Requires="a14">
        <xdr:graphicFrame macro="">
          <xdr:nvGraphicFramePr>
            <xdr:cNvPr id="27" name="Date (Year) 1">
              <a:extLst>
                <a:ext uri="{FF2B5EF4-FFF2-40B4-BE49-F238E27FC236}">
                  <a16:creationId xmlns:a16="http://schemas.microsoft.com/office/drawing/2014/main" id="{B22FE0F3-3C3E-4062-8896-D705D41E7E7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588991" y="226256"/>
              <a:ext cx="967507" cy="299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20594</xdr:colOff>
      <xdr:row>19</xdr:row>
      <xdr:rowOff>41188</xdr:rowOff>
    </xdr:to>
    <xdr:graphicFrame macro="">
      <xdr:nvGraphicFramePr>
        <xdr:cNvPr id="2" name="Chart 1">
          <a:extLst>
            <a:ext uri="{FF2B5EF4-FFF2-40B4-BE49-F238E27FC236}">
              <a16:creationId xmlns:a16="http://schemas.microsoft.com/office/drawing/2014/main" id="{F17193B3-92A6-4DAD-B74D-9534EB6F0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54919</xdr:colOff>
      <xdr:row>0</xdr:row>
      <xdr:rowOff>27460</xdr:rowOff>
    </xdr:from>
    <xdr:to>
      <xdr:col>0</xdr:col>
      <xdr:colOff>487405</xdr:colOff>
      <xdr:row>2</xdr:row>
      <xdr:rowOff>89243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20B2E84-091F-F052-614A-99F7711A78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919" y="27460"/>
          <a:ext cx="432486" cy="4324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594360</xdr:colOff>
      <xdr:row>21</xdr:row>
      <xdr:rowOff>0</xdr:rowOff>
    </xdr:to>
    <xdr:graphicFrame macro="">
      <xdr:nvGraphicFramePr>
        <xdr:cNvPr id="2" name="Chart 1">
          <a:extLst>
            <a:ext uri="{FF2B5EF4-FFF2-40B4-BE49-F238E27FC236}">
              <a16:creationId xmlns:a16="http://schemas.microsoft.com/office/drawing/2014/main" id="{2D25EC82-F5D6-45FC-AFFE-7D27718F7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110067</xdr:colOff>
      <xdr:row>0</xdr:row>
      <xdr:rowOff>110066</xdr:rowOff>
    </xdr:from>
    <xdr:to>
      <xdr:col>0</xdr:col>
      <xdr:colOff>542553</xdr:colOff>
      <xdr:row>2</xdr:row>
      <xdr:rowOff>170019</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53BF0BE8-49AF-4C12-8C37-6B383B3224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0067" y="110066"/>
          <a:ext cx="432486" cy="4324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38100</xdr:colOff>
      <xdr:row>21</xdr:row>
      <xdr:rowOff>0</xdr:rowOff>
    </xdr:to>
    <xdr:graphicFrame macro="">
      <xdr:nvGraphicFramePr>
        <xdr:cNvPr id="2" name="Chart 1">
          <a:extLst>
            <a:ext uri="{FF2B5EF4-FFF2-40B4-BE49-F238E27FC236}">
              <a16:creationId xmlns:a16="http://schemas.microsoft.com/office/drawing/2014/main" id="{3CADC417-0B30-49A0-8823-0EAB59F9F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0</xdr:row>
      <xdr:rowOff>60960</xdr:rowOff>
    </xdr:from>
    <xdr:to>
      <xdr:col>0</xdr:col>
      <xdr:colOff>485826</xdr:colOff>
      <xdr:row>2</xdr:row>
      <xdr:rowOff>127686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98275859-CF35-427A-AF99-8AE9E473F7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40" y="60960"/>
          <a:ext cx="432486" cy="43248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0532405" createdVersion="5" refreshedVersion="8" minRefreshableVersion="3" recordCount="0" supportSubquery="1" supportAdvancedDrill="1" xr:uid="{1BE9C9A9-9255-46E8-9DAE-1CA26AD7F74D}">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62">
        <s v="1-May"/>
        <s v="2-May"/>
        <s v="3-May"/>
        <s v="4-May"/>
        <s v="5-May"/>
        <s v="6-May"/>
        <s v="7-May"/>
        <s v="8-May"/>
        <s v="9-May"/>
        <s v="10-May"/>
        <s v="11-May"/>
        <s v="12-May"/>
        <s v="13-May"/>
        <s v="14-May"/>
        <s v="15-May"/>
        <s v="16-May"/>
        <s v="17-May"/>
        <s v="18-May"/>
        <s v="19-May"/>
        <s v="20-May"/>
        <s v="21-May"/>
        <s v="22-May"/>
        <s v="23-May"/>
        <s v="24-May"/>
        <s v="25-May"/>
        <s v="26-May"/>
        <s v="27-May"/>
        <s v="28-May"/>
        <s v="29-May"/>
        <s v="30-May"/>
        <s v="31-May"/>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076389" createdVersion="5" refreshedVersion="8" minRefreshableVersion="3" recordCount="0" supportSubquery="1" supportAdvancedDrill="1" xr:uid="{034705AD-FE14-49D3-94CF-FD90E4CCC136}">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0995367" createdVersion="5" refreshedVersion="8" minRefreshableVersion="3" recordCount="0" supportSubquery="1" supportAdvancedDrill="1" xr:uid="{C6051232-47E3-4920-8D05-F10784AA7574}">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1111113" createdVersion="5" refreshedVersion="8" minRefreshableVersion="3" recordCount="0" supportSubquery="1" supportAdvancedDrill="1" xr:uid="{01CD10B4-A0D0-4296-810E-27AF2D3BA6BC}">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1458337" createdVersion="5" refreshedVersion="8" minRefreshableVersion="3" recordCount="0" supportSubquery="1" supportAdvancedDrill="1" xr:uid="{EA305CB1-A2B5-48D0-B001-D70763937D5C}">
  <cacheSource type="external" connectionId="4"/>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2037037" createdVersion="5" refreshedVersion="8" minRefreshableVersion="3" recordCount="0" supportSubquery="1" supportAdvancedDrill="1" xr:uid="{FBCCBF64-BB7E-4EFA-AFF3-076D679A8D45}">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2615738" createdVersion="5" refreshedVersion="8" minRefreshableVersion="3" recordCount="0" supportSubquery="1" supportAdvancedDrill="1" xr:uid="{57DE67FB-9588-435A-B517-6CB5DFB8DBAF}">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3194445" createdVersion="5" refreshedVersion="8" minRefreshableVersion="3" recordCount="0" supportSubquery="1" supportAdvancedDrill="1" xr:uid="{BA929184-4A4B-4D24-90C3-EE4F6404AA9C}">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3773146" createdVersion="5" refreshedVersion="8" minRefreshableVersion="3" recordCount="0" supportSubquery="1" supportAdvancedDrill="1" xr:uid="{C7A669BE-A517-4600-8CCF-F687FC5F046A}">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ed"/>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4236108" createdVersion="5" refreshedVersion="8" minRefreshableVersion="3" recordCount="0" supportSubquery="1" supportAdvancedDrill="1" xr:uid="{0F4E3D2D-561F-4BD1-A92F-D739B98EF796}">
  <cacheSource type="external" connectionId="4"/>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4699077" createdVersion="5" refreshedVersion="8" minRefreshableVersion="3" recordCount="0" supportSubquery="1" supportAdvancedDrill="1" xr:uid="{8B32487D-F07A-4153-B942-1626F925DCB1}">
  <cacheSource type="external" connectionId="4"/>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99215162039" createdVersion="5" refreshedVersion="8" minRefreshableVersion="3" recordCount="0" supportSubquery="1" supportAdvancedDrill="1" xr:uid="{92A52C4E-09FF-4917-8282-2BFD786AF2D4}">
  <cacheSource type="external" connectionId="4"/>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975700462965" createdVersion="3" refreshedVersion="8" minRefreshableVersion="3" recordCount="0" supportSubquery="1" supportAdvancedDrill="1" xr:uid="{CF4465C2-3798-4C7C-B05D-1E8BE57D1F18}">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539715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A0A95-2690-4E9C-A6D1-D48FAAFE131C}" name="PivotTable8" cacheId="7"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chartFormat="30">
  <location ref="F41:G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FD472-0590-4524-8598-CCA9A7BD14A3}" name="PivotTable7" cacheId="6"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chartFormat="25">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8372F1-043F-4A28-B258-3CEAEEDD0A7C}" name="PivotTable9" cacheId="8"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chartFormat="41">
  <location ref="F53:G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4">
      <pivotArea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9DEC4-0A09-4107-9746-7FE15684100F}" name="PivotTable3" cacheId="3"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DE8002-6AFB-4082-8371-721528395412}" name="PivotTable6" cacheId="5" applyNumberFormats="0" applyBorderFormats="0" applyFontFormats="0" applyPatternFormats="0" applyAlignmentFormats="0" applyWidthHeightFormats="1" dataCaption="Values" tag="56f3a22f-db23-4ed5-bde8-9e29d19dda6c" updatedVersion="8" minRefreshableVersion="3" subtotalHiddenItems="1" itemPrintTitles="1" createdVersion="5" indent="0" outline="1" outlineData="1" multipleFieldFilters="0" chartFormat="127">
  <location ref="K5: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2"/>
  </dataFields>
  <formats count="1">
    <format dxfId="6">
      <pivotArea outline="0" collapsedLevelsAreSubtotals="1" fieldPosition="0"/>
    </format>
  </formats>
  <chartFormats count="6">
    <chartFormat chart="116" format="0" series="1">
      <pivotArea type="data" outline="0" fieldPosition="0">
        <references count="1">
          <reference field="4294967294" count="1" selected="0">
            <x v="0"/>
          </reference>
        </references>
      </pivotArea>
    </chartFormat>
    <chartFormat chart="120" format="2"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4" format="1" series="1">
      <pivotArea type="data" outline="0" fieldPosition="0">
        <references count="1">
          <reference field="4294967294" count="1" selected="0">
            <x v="0"/>
          </reference>
        </references>
      </pivotArea>
    </chartFormat>
    <chartFormat chart="125" format="2" series="1">
      <pivotArea type="data" outline="0" fieldPosition="0">
        <references count="1">
          <reference field="4294967294" count="1" selected="0">
            <x v="0"/>
          </reference>
        </references>
      </pivotArea>
    </chartFormat>
    <chartFormat chart="1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2F0CD3-4C20-41BE-932C-690E23F9079F}" name="PivotTable1" cacheId="1" applyNumberFormats="0" applyBorderFormats="0" applyFontFormats="0" applyPatternFormats="0" applyAlignmentFormats="0" applyWidthHeightFormats="1" dataCaption="Values" tag="56f3a22f-db23-4ed5-bde8-9e29d19dda6c"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3F022C-F4AE-4CB8-BB97-41FABE9B92D7}" name="PivotTable5" cacheId="4" applyNumberFormats="0" applyBorderFormats="0" applyFontFormats="0" applyPatternFormats="0" applyAlignmentFormats="0" applyWidthHeightFormats="1" dataCaption="Values" tag="56f3a22f-db23-4ed5-bde8-9e29d19dda6c" updatedVersion="8" minRefreshableVersion="3" subtotalHiddenItems="1" itemPrintTitles="1" createdVersion="5" indent="0" outline="1" outlineData="1" multipleFieldFilters="0" chartFormat="123">
  <location ref="G5:H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3" numFmtId="2"/>
  </dataFields>
  <formats count="1">
    <format dxfId="7">
      <pivotArea outline="0" collapsedLevelsAreSubtotals="1" fieldPosition="0"/>
    </format>
  </formats>
  <chartFormats count="2">
    <chartFormat chart="120" format="2" series="1">
      <pivotArea type="data" outline="0" fieldPosition="0">
        <references count="1">
          <reference field="4294967294" count="1" selected="0">
            <x v="0"/>
          </reference>
        </references>
      </pivotArea>
    </chartFormat>
    <chartFormat chart="1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0C0858-6984-41E9-90FB-4930F3207C8B}" name="PivotTable12" cacheId="11"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chartFormat="41">
  <location ref="F59:F6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59806C-A662-496B-83C5-36935AB09CD0}" name="PivotTable11" cacheId="10"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chartFormat="54">
  <location ref="I47:J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dataFields>
  <formats count="1">
    <format dxfId="9">
      <pivotArea outline="0" collapsedLevelsAreSubtotals="1" fieldPosition="0"/>
    </format>
  </formats>
  <chartFormats count="2">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2" count="1" selected="0">
            <x v="4"/>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2CA25E-BC45-434C-BE91-33A687D38F95}" name="PivotTable2" cacheId="2" applyNumberFormats="0" applyBorderFormats="0" applyFontFormats="0" applyPatternFormats="0" applyAlignmentFormats="0" applyWidthHeightFormats="1" dataCaption="Values" tag="dcc754fd-7bc0-4a39-bb44-ab5779a2921b"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E4AC3E-E17F-4846-83C7-EB28E294E444}" name="PivotTable4" cacheId="0" applyNumberFormats="0" applyBorderFormats="0" applyFontFormats="0" applyPatternFormats="0" applyAlignmentFormats="0" applyWidthHeightFormats="1" dataCaption="Values" tag="56f3a22f-db23-4ed5-bde8-9e29d19dda6c" updatedVersion="8" minRefreshableVersion="3" subtotalHiddenItems="1" itemPrintTitles="1" createdVersion="5" indent="0" outline="1" outlineData="1" multipleFieldFilters="0" chartFormat="135">
  <location ref="D5:E37" firstHeaderRow="1" firstDataRow="1" firstDataCol="1"/>
  <pivotFields count="4">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5">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31"/>
          </reference>
        </references>
      </pivotArea>
    </chartFormat>
    <chartFormat chart="9" format="6">
      <pivotArea type="data" outline="0" fieldPosition="0">
        <references count="2">
          <reference field="4294967294" count="1" selected="0">
            <x v="0"/>
          </reference>
          <reference field="1" count="1" selected="0">
            <x v="32"/>
          </reference>
        </references>
      </pivotArea>
    </chartFormat>
    <chartFormat chart="9" format="7">
      <pivotArea type="data" outline="0" fieldPosition="0">
        <references count="2">
          <reference field="4294967294" count="1" selected="0">
            <x v="0"/>
          </reference>
          <reference field="1" count="1" selected="0">
            <x v="33"/>
          </reference>
        </references>
      </pivotArea>
    </chartFormat>
    <chartFormat chart="9" format="8">
      <pivotArea type="data" outline="0" fieldPosition="0">
        <references count="2">
          <reference field="4294967294" count="1" selected="0">
            <x v="0"/>
          </reference>
          <reference field="1" count="1" selected="0">
            <x v="34"/>
          </reference>
        </references>
      </pivotArea>
    </chartFormat>
    <chartFormat chart="9" format="9">
      <pivotArea type="data" outline="0" fieldPosition="0">
        <references count="2">
          <reference field="4294967294" count="1" selected="0">
            <x v="0"/>
          </reference>
          <reference field="1" count="1" selected="0">
            <x v="35"/>
          </reference>
        </references>
      </pivotArea>
    </chartFormat>
    <chartFormat chart="9" format="10">
      <pivotArea type="data" outline="0" fieldPosition="0">
        <references count="2">
          <reference field="4294967294" count="1" selected="0">
            <x v="0"/>
          </reference>
          <reference field="1" count="1" selected="0">
            <x v="36"/>
          </reference>
        </references>
      </pivotArea>
    </chartFormat>
    <chartFormat chart="9" format="11">
      <pivotArea type="data" outline="0" fieldPosition="0">
        <references count="2">
          <reference field="4294967294" count="1" selected="0">
            <x v="0"/>
          </reference>
          <reference field="1" count="1" selected="0">
            <x v="37"/>
          </reference>
        </references>
      </pivotArea>
    </chartFormat>
    <chartFormat chart="9" format="12">
      <pivotArea type="data" outline="0" fieldPosition="0">
        <references count="2">
          <reference field="4294967294" count="1" selected="0">
            <x v="0"/>
          </reference>
          <reference field="1" count="1" selected="0">
            <x v="38"/>
          </reference>
        </references>
      </pivotArea>
    </chartFormat>
    <chartFormat chart="9" format="13">
      <pivotArea type="data" outline="0" fieldPosition="0">
        <references count="2">
          <reference field="4294967294" count="1" selected="0">
            <x v="0"/>
          </reference>
          <reference field="1" count="1" selected="0">
            <x v="39"/>
          </reference>
        </references>
      </pivotArea>
    </chartFormat>
    <chartFormat chart="9" format="14">
      <pivotArea type="data" outline="0" fieldPosition="0">
        <references count="2">
          <reference field="4294967294" count="1" selected="0">
            <x v="0"/>
          </reference>
          <reference field="1" count="1" selected="0">
            <x v="40"/>
          </reference>
        </references>
      </pivotArea>
    </chartFormat>
    <chartFormat chart="9" format="15">
      <pivotArea type="data" outline="0" fieldPosition="0">
        <references count="2">
          <reference field="4294967294" count="1" selected="0">
            <x v="0"/>
          </reference>
          <reference field="1" count="1" selected="0">
            <x v="41"/>
          </reference>
        </references>
      </pivotArea>
    </chartFormat>
    <chartFormat chart="9" format="16">
      <pivotArea type="data" outline="0" fieldPosition="0">
        <references count="2">
          <reference field="4294967294" count="1" selected="0">
            <x v="0"/>
          </reference>
          <reference field="1" count="1" selected="0">
            <x v="42"/>
          </reference>
        </references>
      </pivotArea>
    </chartFormat>
    <chartFormat chart="9" format="17">
      <pivotArea type="data" outline="0" fieldPosition="0">
        <references count="2">
          <reference field="4294967294" count="1" selected="0">
            <x v="0"/>
          </reference>
          <reference field="1" count="1" selected="0">
            <x v="43"/>
          </reference>
        </references>
      </pivotArea>
    </chartFormat>
    <chartFormat chart="9" format="18">
      <pivotArea type="data" outline="0" fieldPosition="0">
        <references count="2">
          <reference field="4294967294" count="1" selected="0">
            <x v="0"/>
          </reference>
          <reference field="1" count="1" selected="0">
            <x v="44"/>
          </reference>
        </references>
      </pivotArea>
    </chartFormat>
    <chartFormat chart="9" format="19">
      <pivotArea type="data" outline="0" fieldPosition="0">
        <references count="2">
          <reference field="4294967294" count="1" selected="0">
            <x v="0"/>
          </reference>
          <reference field="1" count="1" selected="0">
            <x v="45"/>
          </reference>
        </references>
      </pivotArea>
    </chartFormat>
    <chartFormat chart="9" format="20">
      <pivotArea type="data" outline="0" fieldPosition="0">
        <references count="2">
          <reference field="4294967294" count="1" selected="0">
            <x v="0"/>
          </reference>
          <reference field="1" count="1" selected="0">
            <x v="46"/>
          </reference>
        </references>
      </pivotArea>
    </chartFormat>
    <chartFormat chart="9" format="21">
      <pivotArea type="data" outline="0" fieldPosition="0">
        <references count="2">
          <reference field="4294967294" count="1" selected="0">
            <x v="0"/>
          </reference>
          <reference field="1" count="1" selected="0">
            <x v="47"/>
          </reference>
        </references>
      </pivotArea>
    </chartFormat>
    <chartFormat chart="9" format="22">
      <pivotArea type="data" outline="0" fieldPosition="0">
        <references count="2">
          <reference field="4294967294" count="1" selected="0">
            <x v="0"/>
          </reference>
          <reference field="1" count="1" selected="0">
            <x v="48"/>
          </reference>
        </references>
      </pivotArea>
    </chartFormat>
    <chartFormat chart="9" format="23">
      <pivotArea type="data" outline="0" fieldPosition="0">
        <references count="2">
          <reference field="4294967294" count="1" selected="0">
            <x v="0"/>
          </reference>
          <reference field="1" count="1" selected="0">
            <x v="49"/>
          </reference>
        </references>
      </pivotArea>
    </chartFormat>
    <chartFormat chart="9" format="24">
      <pivotArea type="data" outline="0" fieldPosition="0">
        <references count="2">
          <reference field="4294967294" count="1" selected="0">
            <x v="0"/>
          </reference>
          <reference field="1" count="1" selected="0">
            <x v="50"/>
          </reference>
        </references>
      </pivotArea>
    </chartFormat>
    <chartFormat chart="9" format="25">
      <pivotArea type="data" outline="0" fieldPosition="0">
        <references count="2">
          <reference field="4294967294" count="1" selected="0">
            <x v="0"/>
          </reference>
          <reference field="1" count="1" selected="0">
            <x v="51"/>
          </reference>
        </references>
      </pivotArea>
    </chartFormat>
    <chartFormat chart="9" format="26">
      <pivotArea type="data" outline="0" fieldPosition="0">
        <references count="2">
          <reference field="4294967294" count="1" selected="0">
            <x v="0"/>
          </reference>
          <reference field="1" count="1" selected="0">
            <x v="52"/>
          </reference>
        </references>
      </pivotArea>
    </chartFormat>
    <chartFormat chart="9" format="27">
      <pivotArea type="data" outline="0" fieldPosition="0">
        <references count="2">
          <reference field="4294967294" count="1" selected="0">
            <x v="0"/>
          </reference>
          <reference field="1" count="1" selected="0">
            <x v="53"/>
          </reference>
        </references>
      </pivotArea>
    </chartFormat>
    <chartFormat chart="9" format="28">
      <pivotArea type="data" outline="0" fieldPosition="0">
        <references count="2">
          <reference field="4294967294" count="1" selected="0">
            <x v="0"/>
          </reference>
          <reference field="1" count="1" selected="0">
            <x v="54"/>
          </reference>
        </references>
      </pivotArea>
    </chartFormat>
    <chartFormat chart="9" format="29">
      <pivotArea type="data" outline="0" fieldPosition="0">
        <references count="2">
          <reference field="4294967294" count="1" selected="0">
            <x v="0"/>
          </reference>
          <reference field="1" count="1" selected="0">
            <x v="55"/>
          </reference>
        </references>
      </pivotArea>
    </chartFormat>
    <chartFormat chart="9" format="30">
      <pivotArea type="data" outline="0" fieldPosition="0">
        <references count="2">
          <reference field="4294967294" count="1" selected="0">
            <x v="0"/>
          </reference>
          <reference field="1" count="1" selected="0">
            <x v="56"/>
          </reference>
        </references>
      </pivotArea>
    </chartFormat>
    <chartFormat chart="9" format="31">
      <pivotArea type="data" outline="0" fieldPosition="0">
        <references count="2">
          <reference field="4294967294" count="1" selected="0">
            <x v="0"/>
          </reference>
          <reference field="1" count="1" selected="0">
            <x v="57"/>
          </reference>
        </references>
      </pivotArea>
    </chartFormat>
    <chartFormat chart="9" format="32">
      <pivotArea type="data" outline="0" fieldPosition="0">
        <references count="2">
          <reference field="4294967294" count="1" selected="0">
            <x v="0"/>
          </reference>
          <reference field="1" count="1" selected="0">
            <x v="58"/>
          </reference>
        </references>
      </pivotArea>
    </chartFormat>
    <chartFormat chart="9" format="33">
      <pivotArea type="data" outline="0" fieldPosition="0">
        <references count="2">
          <reference field="4294967294" count="1" selected="0">
            <x v="0"/>
          </reference>
          <reference field="1" count="1" selected="0">
            <x v="59"/>
          </reference>
        </references>
      </pivotArea>
    </chartFormat>
    <chartFormat chart="9" format="34">
      <pivotArea type="data" outline="0" fieldPosition="0">
        <references count="2">
          <reference field="4294967294" count="1" selected="0">
            <x v="0"/>
          </reference>
          <reference field="1" count="1" selected="0">
            <x v="60"/>
          </reference>
        </references>
      </pivotArea>
    </chartFormat>
    <chartFormat chart="9" format="35">
      <pivotArea type="data" outline="0" fieldPosition="0">
        <references count="2">
          <reference field="4294967294" count="1" selected="0">
            <x v="0"/>
          </reference>
          <reference field="1" count="1" selected="0">
            <x v="6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03B02F-3671-4743-BCA5-8B04D48982F9}" name="PivotTable10" cacheId="9" applyNumberFormats="0" applyBorderFormats="0" applyFontFormats="0" applyPatternFormats="0" applyAlignmentFormats="0" applyWidthHeightFormats="1" dataCaption="Values" tag="8ecfe34e-13d6-41c0-a10d-f0843befd088" updatedVersion="8" minRefreshableVersion="3" subtotalHiddenItems="1" itemPrintTitles="1" createdVersion="5" indent="0" outline="1" outlineData="1" multipleFieldFilters="0" chartFormat="52">
  <location ref="I41:J4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1">
      <pivotArea outline="0" collapsedLevelsAreSubtotals="1" fieldPosition="0"/>
    </format>
  </formats>
  <chartFormats count="3">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2" count="1" selected="0">
            <x v="0"/>
          </reference>
        </references>
      </pivotArea>
    </chartFormat>
    <chartFormat chart="4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09905C9-2C38-4BA1-98B8-A0826FC08B7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15B369F-169C-4E67-AC33-5274251A9369}"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55397151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BE85FF8-F153-49E8-A6E8-96BCA9ECF27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5397151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C1B4E82-6345-4862-87DD-3409BFC6E01A}" cache="Slicer_Date__Year" caption="Date (Year)"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2522759-F900-434A-9339-0BD4FC04BF2F}" cache="Slicer_Date__Month" caption="Date (Month)" showCaption="0" level="1" style="SlicerStyleLight4 2" rowHeight="151200"/>
  <slicer name="Date (Year) 1" xr10:uid="{D487A2E8-58F2-4C36-BBC0-38BC52B56E3E}" cache="Slicer_Date__Year" caption="Date (Year)" columnCount="2" showCaption="0" level="1" style="My Style"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9012AE-9A62-4FED-8F15-32A46B1563E1}" name="Table_ExternalData_1" displayName="Table_ExternalData_1" ref="A3:M611" tableType="queryTable" totalsRowShown="0">
  <autoFilter ref="A3:M611" xr:uid="{F39012AE-9A62-4FED-8F15-32A46B1563E1}"/>
  <tableColumns count="13">
    <tableColumn id="1" xr3:uid="{B63AA6D5-B541-4EE4-9F92-BC71E7957E01}" uniqueName="1" name="Hospital Emergency Room Data[Patient Id]" queryTableFieldId="1"/>
    <tableColumn id="2" xr3:uid="{68930A5D-0337-40C7-9CB6-86DECC509738}" uniqueName="2" name="Hospital Emergency Room Data[Patient Admission Date]" queryTableFieldId="2" dataDxfId="13"/>
    <tableColumn id="3" xr3:uid="{C8A8F7B4-A9A2-40AE-94D6-AF3AD6BF2609}" uniqueName="3" name="Hospital Emergency Room Data[Patient Admission Time]" queryTableFieldId="3" dataDxfId="12"/>
    <tableColumn id="4" xr3:uid="{28397B14-5261-4738-B2AE-807F7EF1E3F9}" uniqueName="4" name="Hospital Emergency Room Data[Patient Name]" queryTableFieldId="4"/>
    <tableColumn id="5" xr3:uid="{CDA4616A-56AD-464D-84B7-7CAC304CA3C0}" uniqueName="5" name="Hospital Emergency Room Data[Patient Gender]" queryTableFieldId="5"/>
    <tableColumn id="6" xr3:uid="{63C2ABFF-35B3-4DE6-AAA3-65435457C3C7}" uniqueName="6" name="Hospital Emergency Room Data[Patient Age]" queryTableFieldId="6"/>
    <tableColumn id="7" xr3:uid="{08B93CD8-D49D-4D50-B92F-12F5BC581DB2}" uniqueName="7" name="Hospital Emergency Room Data[Patient Race]" queryTableFieldId="7"/>
    <tableColumn id="8" xr3:uid="{3278B0E2-EBBA-4F43-AAD2-6402F18C2400}" uniqueName="8" name="Hospital Emergency Room Data[Department Referral]" queryTableFieldId="8"/>
    <tableColumn id="9" xr3:uid="{FB90EF50-BD58-44BF-8899-84F8458E3CC7}" uniqueName="9" name="Hospital Emergency Room Data[Patient Admission Flag]" queryTableFieldId="9"/>
    <tableColumn id="10" xr3:uid="{D1115FC6-4364-4077-BA49-4C2F1BAF93F8}" uniqueName="10" name="Hospital Emergency Room Data[Patient Satisfaction Score]" queryTableFieldId="10"/>
    <tableColumn id="11" xr3:uid="{160E0BF4-CD3B-4C6D-984A-3976A6D98C6E}" uniqueName="11" name="Hospital Emergency Room Data[Patient Waittime]" queryTableFieldId="11"/>
    <tableColumn id="12" xr3:uid="{2CCEEC36-54C2-414B-810A-BDED3C679402}" uniqueName="12" name="Hospital Emergency Room Data[Age Group]" queryTableFieldId="12"/>
    <tableColumn id="13" xr3:uid="{9E1526A7-D2BB-493F-BA16-E7CC92DDBD4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BBACC-7D85-4EFC-8BA8-F12B4FA83956}">
  <dimension ref="A1:M611"/>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10" t="s">
        <v>1277</v>
      </c>
    </row>
    <row r="3" spans="1:13" x14ac:dyDescent="0.3">
      <c r="A3" t="s">
        <v>31</v>
      </c>
      <c r="B3" t="s">
        <v>32</v>
      </c>
      <c r="C3" t="s">
        <v>33</v>
      </c>
      <c r="D3" t="s">
        <v>34</v>
      </c>
      <c r="E3" t="s">
        <v>35</v>
      </c>
      <c r="F3" t="s">
        <v>36</v>
      </c>
      <c r="G3" t="s">
        <v>37</v>
      </c>
      <c r="H3" t="s">
        <v>38</v>
      </c>
      <c r="I3" t="s">
        <v>39</v>
      </c>
      <c r="J3" t="s">
        <v>40</v>
      </c>
      <c r="K3" t="s">
        <v>41</v>
      </c>
      <c r="L3" t="s">
        <v>42</v>
      </c>
      <c r="M3" t="s">
        <v>43</v>
      </c>
    </row>
    <row r="4" spans="1:13" x14ac:dyDescent="0.3">
      <c r="A4" t="s">
        <v>44</v>
      </c>
      <c r="B4" s="8">
        <v>45105</v>
      </c>
      <c r="C4" s="9">
        <v>0.55833333333333335</v>
      </c>
      <c r="D4" t="s">
        <v>45</v>
      </c>
      <c r="E4" t="s">
        <v>46</v>
      </c>
      <c r="F4">
        <v>76</v>
      </c>
      <c r="G4" t="s">
        <v>47</v>
      </c>
      <c r="H4" t="s">
        <v>48</v>
      </c>
      <c r="I4" t="s">
        <v>13</v>
      </c>
      <c r="K4">
        <v>53</v>
      </c>
      <c r="L4" t="s">
        <v>25</v>
      </c>
      <c r="M4" t="s">
        <v>28</v>
      </c>
    </row>
    <row r="5" spans="1:13" x14ac:dyDescent="0.3">
      <c r="A5" t="s">
        <v>49</v>
      </c>
      <c r="B5" s="8">
        <v>45090</v>
      </c>
      <c r="C5" s="9">
        <v>0.1763888888888889</v>
      </c>
      <c r="D5" t="s">
        <v>50</v>
      </c>
      <c r="E5" t="s">
        <v>46</v>
      </c>
      <c r="F5">
        <v>30</v>
      </c>
      <c r="G5" t="s">
        <v>47</v>
      </c>
      <c r="H5" t="s">
        <v>48</v>
      </c>
      <c r="I5" t="s">
        <v>13</v>
      </c>
      <c r="K5">
        <v>38</v>
      </c>
      <c r="L5" t="s">
        <v>20</v>
      </c>
      <c r="M5" t="s">
        <v>28</v>
      </c>
    </row>
    <row r="6" spans="1:13" x14ac:dyDescent="0.3">
      <c r="A6" t="s">
        <v>51</v>
      </c>
      <c r="B6" s="8">
        <v>45095</v>
      </c>
      <c r="C6" s="9">
        <v>0.5854166666666667</v>
      </c>
      <c r="D6" t="s">
        <v>52</v>
      </c>
      <c r="E6" t="s">
        <v>46</v>
      </c>
      <c r="F6">
        <v>43</v>
      </c>
      <c r="G6" t="s">
        <v>47</v>
      </c>
      <c r="H6" t="s">
        <v>48</v>
      </c>
      <c r="I6" t="s">
        <v>13</v>
      </c>
      <c r="K6">
        <v>35</v>
      </c>
      <c r="L6" t="s">
        <v>22</v>
      </c>
      <c r="M6" t="s">
        <v>28</v>
      </c>
    </row>
    <row r="7" spans="1:13" x14ac:dyDescent="0.3">
      <c r="A7" t="s">
        <v>53</v>
      </c>
      <c r="B7" s="8">
        <v>45092</v>
      </c>
      <c r="C7" s="9">
        <v>0.94305555555555554</v>
      </c>
      <c r="D7" t="s">
        <v>54</v>
      </c>
      <c r="E7" t="s">
        <v>46</v>
      </c>
      <c r="F7">
        <v>13</v>
      </c>
      <c r="G7" t="s">
        <v>47</v>
      </c>
      <c r="H7" t="s">
        <v>48</v>
      </c>
      <c r="I7" t="s">
        <v>13</v>
      </c>
      <c r="K7">
        <v>45</v>
      </c>
      <c r="L7" t="s">
        <v>19</v>
      </c>
      <c r="M7" t="s">
        <v>28</v>
      </c>
    </row>
    <row r="8" spans="1:13" x14ac:dyDescent="0.3">
      <c r="A8" t="s">
        <v>55</v>
      </c>
      <c r="B8" s="8">
        <v>45089</v>
      </c>
      <c r="C8" s="9">
        <v>0.82430555555555551</v>
      </c>
      <c r="D8" t="s">
        <v>56</v>
      </c>
      <c r="E8" t="s">
        <v>46</v>
      </c>
      <c r="F8">
        <v>46</v>
      </c>
      <c r="G8" t="s">
        <v>47</v>
      </c>
      <c r="H8" t="s">
        <v>48</v>
      </c>
      <c r="I8" t="s">
        <v>13</v>
      </c>
      <c r="K8">
        <v>58</v>
      </c>
      <c r="L8" t="s">
        <v>22</v>
      </c>
      <c r="M8" t="s">
        <v>28</v>
      </c>
    </row>
    <row r="9" spans="1:13" x14ac:dyDescent="0.3">
      <c r="A9" t="s">
        <v>57</v>
      </c>
      <c r="B9" s="8">
        <v>45099</v>
      </c>
      <c r="C9" s="9">
        <v>0.18819444444444444</v>
      </c>
      <c r="D9" t="s">
        <v>58</v>
      </c>
      <c r="E9" t="s">
        <v>46</v>
      </c>
      <c r="F9">
        <v>26</v>
      </c>
      <c r="G9" t="s">
        <v>47</v>
      </c>
      <c r="H9" t="s">
        <v>48</v>
      </c>
      <c r="I9" t="s">
        <v>13</v>
      </c>
      <c r="K9">
        <v>31</v>
      </c>
      <c r="L9" t="s">
        <v>20</v>
      </c>
      <c r="M9" t="s">
        <v>28</v>
      </c>
    </row>
    <row r="10" spans="1:13" x14ac:dyDescent="0.3">
      <c r="A10" t="s">
        <v>59</v>
      </c>
      <c r="B10" s="8">
        <v>45461</v>
      </c>
      <c r="C10" s="9">
        <v>0.81180555555555556</v>
      </c>
      <c r="D10" t="s">
        <v>60</v>
      </c>
      <c r="E10" t="s">
        <v>46</v>
      </c>
      <c r="F10">
        <v>22</v>
      </c>
      <c r="G10" t="s">
        <v>47</v>
      </c>
      <c r="H10" t="s">
        <v>48</v>
      </c>
      <c r="I10" t="s">
        <v>13</v>
      </c>
      <c r="K10">
        <v>34</v>
      </c>
      <c r="L10" t="s">
        <v>20</v>
      </c>
      <c r="M10" t="s">
        <v>28</v>
      </c>
    </row>
    <row r="11" spans="1:13" x14ac:dyDescent="0.3">
      <c r="A11" t="s">
        <v>61</v>
      </c>
      <c r="B11" s="8">
        <v>45466</v>
      </c>
      <c r="C11" s="9">
        <v>0.60416666666666663</v>
      </c>
      <c r="D11" t="s">
        <v>62</v>
      </c>
      <c r="E11" t="s">
        <v>46</v>
      </c>
      <c r="F11">
        <v>79</v>
      </c>
      <c r="G11" t="s">
        <v>47</v>
      </c>
      <c r="H11" t="s">
        <v>48</v>
      </c>
      <c r="I11" t="s">
        <v>13</v>
      </c>
      <c r="K11">
        <v>36</v>
      </c>
      <c r="L11" t="s">
        <v>25</v>
      </c>
      <c r="M11" t="s">
        <v>28</v>
      </c>
    </row>
    <row r="12" spans="1:13" x14ac:dyDescent="0.3">
      <c r="A12" t="s">
        <v>63</v>
      </c>
      <c r="B12" s="8">
        <v>45084</v>
      </c>
      <c r="C12" s="9">
        <v>0.44166666666666665</v>
      </c>
      <c r="D12" t="s">
        <v>64</v>
      </c>
      <c r="E12" t="s">
        <v>46</v>
      </c>
      <c r="F12">
        <v>22</v>
      </c>
      <c r="G12" t="s">
        <v>47</v>
      </c>
      <c r="H12" t="s">
        <v>48</v>
      </c>
      <c r="I12" t="s">
        <v>13</v>
      </c>
      <c r="K12">
        <v>43</v>
      </c>
      <c r="L12" t="s">
        <v>20</v>
      </c>
      <c r="M12" t="s">
        <v>28</v>
      </c>
    </row>
    <row r="13" spans="1:13" x14ac:dyDescent="0.3">
      <c r="A13" t="s">
        <v>65</v>
      </c>
      <c r="B13" s="8">
        <v>45086</v>
      </c>
      <c r="C13" s="9">
        <v>0.11597222222222223</v>
      </c>
      <c r="D13" t="s">
        <v>66</v>
      </c>
      <c r="E13" t="s">
        <v>46</v>
      </c>
      <c r="F13">
        <v>9</v>
      </c>
      <c r="G13" t="s">
        <v>47</v>
      </c>
      <c r="H13" t="s">
        <v>48</v>
      </c>
      <c r="I13" t="s">
        <v>13</v>
      </c>
      <c r="K13">
        <v>48</v>
      </c>
      <c r="L13" t="s">
        <v>18</v>
      </c>
      <c r="M13" t="s">
        <v>28</v>
      </c>
    </row>
    <row r="14" spans="1:13" x14ac:dyDescent="0.3">
      <c r="A14" t="s">
        <v>67</v>
      </c>
      <c r="B14" s="8">
        <v>45473</v>
      </c>
      <c r="C14" s="9">
        <v>0.2298611111111111</v>
      </c>
      <c r="D14" t="s">
        <v>68</v>
      </c>
      <c r="E14" t="s">
        <v>46</v>
      </c>
      <c r="F14">
        <v>18</v>
      </c>
      <c r="G14" t="s">
        <v>47</v>
      </c>
      <c r="H14" t="s">
        <v>48</v>
      </c>
      <c r="I14" t="s">
        <v>13</v>
      </c>
      <c r="K14">
        <v>51</v>
      </c>
      <c r="L14" t="s">
        <v>19</v>
      </c>
      <c r="M14" t="s">
        <v>28</v>
      </c>
    </row>
    <row r="15" spans="1:13" x14ac:dyDescent="0.3">
      <c r="A15" t="s">
        <v>69</v>
      </c>
      <c r="B15" s="8">
        <v>45079</v>
      </c>
      <c r="C15" s="9">
        <v>0.30763888888888891</v>
      </c>
      <c r="D15" t="s">
        <v>70</v>
      </c>
      <c r="E15" t="s">
        <v>46</v>
      </c>
      <c r="F15">
        <v>38</v>
      </c>
      <c r="G15" t="s">
        <v>47</v>
      </c>
      <c r="H15" t="s">
        <v>48</v>
      </c>
      <c r="I15" t="s">
        <v>13</v>
      </c>
      <c r="K15">
        <v>47</v>
      </c>
      <c r="L15" t="s">
        <v>21</v>
      </c>
      <c r="M15" t="s">
        <v>28</v>
      </c>
    </row>
    <row r="16" spans="1:13" x14ac:dyDescent="0.3">
      <c r="A16" t="s">
        <v>71</v>
      </c>
      <c r="B16" s="8">
        <v>45096</v>
      </c>
      <c r="C16" s="9">
        <v>4.8611111111111112E-3</v>
      </c>
      <c r="D16" t="s">
        <v>72</v>
      </c>
      <c r="E16" t="s">
        <v>46</v>
      </c>
      <c r="F16">
        <v>28</v>
      </c>
      <c r="G16" t="s">
        <v>47</v>
      </c>
      <c r="H16" t="s">
        <v>48</v>
      </c>
      <c r="I16" t="s">
        <v>13</v>
      </c>
      <c r="K16">
        <v>39</v>
      </c>
      <c r="L16" t="s">
        <v>20</v>
      </c>
      <c r="M16" t="s">
        <v>28</v>
      </c>
    </row>
    <row r="17" spans="1:13" x14ac:dyDescent="0.3">
      <c r="A17" t="s">
        <v>73</v>
      </c>
      <c r="B17" s="8">
        <v>45455</v>
      </c>
      <c r="C17" s="9">
        <v>0.97499999999999998</v>
      </c>
      <c r="D17" t="s">
        <v>74</v>
      </c>
      <c r="E17" t="s">
        <v>46</v>
      </c>
      <c r="F17">
        <v>72</v>
      </c>
      <c r="G17" t="s">
        <v>47</v>
      </c>
      <c r="H17" t="s">
        <v>48</v>
      </c>
      <c r="I17" t="s">
        <v>13</v>
      </c>
      <c r="K17">
        <v>39</v>
      </c>
      <c r="L17" t="s">
        <v>25</v>
      </c>
      <c r="M17" t="s">
        <v>28</v>
      </c>
    </row>
    <row r="18" spans="1:13" x14ac:dyDescent="0.3">
      <c r="A18" t="s">
        <v>75</v>
      </c>
      <c r="B18" s="8">
        <v>45088</v>
      </c>
      <c r="C18" s="9">
        <v>0.26597222222222222</v>
      </c>
      <c r="D18" t="s">
        <v>76</v>
      </c>
      <c r="E18" t="s">
        <v>46</v>
      </c>
      <c r="F18">
        <v>32</v>
      </c>
      <c r="G18" t="s">
        <v>47</v>
      </c>
      <c r="H18" t="s">
        <v>48</v>
      </c>
      <c r="I18" t="s">
        <v>13</v>
      </c>
      <c r="K18">
        <v>50</v>
      </c>
      <c r="L18" t="s">
        <v>21</v>
      </c>
      <c r="M18" t="s">
        <v>28</v>
      </c>
    </row>
    <row r="19" spans="1:13" x14ac:dyDescent="0.3">
      <c r="A19" t="s">
        <v>77</v>
      </c>
      <c r="B19" s="8">
        <v>45088</v>
      </c>
      <c r="C19" s="9">
        <v>0.25555555555555554</v>
      </c>
      <c r="D19" t="s">
        <v>78</v>
      </c>
      <c r="E19" t="s">
        <v>46</v>
      </c>
      <c r="F19">
        <v>36</v>
      </c>
      <c r="G19" t="s">
        <v>47</v>
      </c>
      <c r="H19" t="s">
        <v>48</v>
      </c>
      <c r="I19" t="s">
        <v>13</v>
      </c>
      <c r="K19">
        <v>51</v>
      </c>
      <c r="L19" t="s">
        <v>21</v>
      </c>
      <c r="M19" t="s">
        <v>28</v>
      </c>
    </row>
    <row r="20" spans="1:13" x14ac:dyDescent="0.3">
      <c r="A20" t="s">
        <v>79</v>
      </c>
      <c r="B20" s="8">
        <v>45094</v>
      </c>
      <c r="C20" s="9">
        <v>0.76736111111111116</v>
      </c>
      <c r="D20" t="s">
        <v>80</v>
      </c>
      <c r="E20" t="s">
        <v>46</v>
      </c>
      <c r="F20">
        <v>29</v>
      </c>
      <c r="G20" t="s">
        <v>47</v>
      </c>
      <c r="H20" t="s">
        <v>48</v>
      </c>
      <c r="I20" t="s">
        <v>13</v>
      </c>
      <c r="K20">
        <v>35</v>
      </c>
      <c r="L20" t="s">
        <v>20</v>
      </c>
      <c r="M20" t="s">
        <v>28</v>
      </c>
    </row>
    <row r="21" spans="1:13" x14ac:dyDescent="0.3">
      <c r="A21" t="s">
        <v>81</v>
      </c>
      <c r="B21" s="8">
        <v>45097</v>
      </c>
      <c r="C21" s="9">
        <v>0.53819444444444442</v>
      </c>
      <c r="D21" t="s">
        <v>82</v>
      </c>
      <c r="E21" t="s">
        <v>46</v>
      </c>
      <c r="F21">
        <v>66</v>
      </c>
      <c r="G21" t="s">
        <v>47</v>
      </c>
      <c r="H21" t="s">
        <v>48</v>
      </c>
      <c r="I21" t="s">
        <v>13</v>
      </c>
      <c r="K21">
        <v>46</v>
      </c>
      <c r="L21" t="s">
        <v>24</v>
      </c>
      <c r="M21" t="s">
        <v>28</v>
      </c>
    </row>
    <row r="22" spans="1:13" x14ac:dyDescent="0.3">
      <c r="A22" t="s">
        <v>83</v>
      </c>
      <c r="B22" s="8">
        <v>45106</v>
      </c>
      <c r="C22" s="9">
        <v>0.58750000000000002</v>
      </c>
      <c r="D22" t="s">
        <v>84</v>
      </c>
      <c r="E22" t="s">
        <v>46</v>
      </c>
      <c r="F22">
        <v>61</v>
      </c>
      <c r="G22" t="s">
        <v>47</v>
      </c>
      <c r="H22" t="s">
        <v>48</v>
      </c>
      <c r="I22" t="s">
        <v>13</v>
      </c>
      <c r="K22">
        <v>46</v>
      </c>
      <c r="L22" t="s">
        <v>24</v>
      </c>
      <c r="M22" t="s">
        <v>28</v>
      </c>
    </row>
    <row r="23" spans="1:13" x14ac:dyDescent="0.3">
      <c r="A23" t="s">
        <v>85</v>
      </c>
      <c r="B23" s="8">
        <v>45472</v>
      </c>
      <c r="C23" s="9">
        <v>1.3194444444444444E-2</v>
      </c>
      <c r="D23" t="s">
        <v>86</v>
      </c>
      <c r="E23" t="s">
        <v>46</v>
      </c>
      <c r="F23">
        <v>18</v>
      </c>
      <c r="G23" t="s">
        <v>47</v>
      </c>
      <c r="H23" t="s">
        <v>48</v>
      </c>
      <c r="I23" t="s">
        <v>13</v>
      </c>
      <c r="K23">
        <v>36</v>
      </c>
      <c r="L23" t="s">
        <v>19</v>
      </c>
      <c r="M23" t="s">
        <v>28</v>
      </c>
    </row>
    <row r="24" spans="1:13" x14ac:dyDescent="0.3">
      <c r="A24" t="s">
        <v>87</v>
      </c>
      <c r="B24" s="8">
        <v>45089</v>
      </c>
      <c r="C24" s="9">
        <v>0.11736111111111111</v>
      </c>
      <c r="D24" t="s">
        <v>88</v>
      </c>
      <c r="E24" t="s">
        <v>46</v>
      </c>
      <c r="F24">
        <v>77</v>
      </c>
      <c r="G24" t="s">
        <v>47</v>
      </c>
      <c r="H24" t="s">
        <v>48</v>
      </c>
      <c r="I24" t="s">
        <v>13</v>
      </c>
      <c r="K24">
        <v>59</v>
      </c>
      <c r="L24" t="s">
        <v>25</v>
      </c>
      <c r="M24" t="s">
        <v>28</v>
      </c>
    </row>
    <row r="25" spans="1:13" x14ac:dyDescent="0.3">
      <c r="A25" t="s">
        <v>89</v>
      </c>
      <c r="B25" s="8">
        <v>45104</v>
      </c>
      <c r="C25" s="9">
        <v>0.96805555555555556</v>
      </c>
      <c r="D25" t="s">
        <v>90</v>
      </c>
      <c r="E25" t="s">
        <v>91</v>
      </c>
      <c r="F25">
        <v>15</v>
      </c>
      <c r="G25" t="s">
        <v>47</v>
      </c>
      <c r="H25" t="s">
        <v>48</v>
      </c>
      <c r="I25" t="s">
        <v>13</v>
      </c>
      <c r="K25">
        <v>50</v>
      </c>
      <c r="L25" t="s">
        <v>19</v>
      </c>
      <c r="M25" t="s">
        <v>28</v>
      </c>
    </row>
    <row r="26" spans="1:13" x14ac:dyDescent="0.3">
      <c r="A26" t="s">
        <v>92</v>
      </c>
      <c r="B26" s="8">
        <v>45087</v>
      </c>
      <c r="C26" s="9">
        <v>0.37986111111111109</v>
      </c>
      <c r="D26" t="s">
        <v>93</v>
      </c>
      <c r="E26" t="s">
        <v>91</v>
      </c>
      <c r="F26">
        <v>69</v>
      </c>
      <c r="G26" t="s">
        <v>47</v>
      </c>
      <c r="H26" t="s">
        <v>48</v>
      </c>
      <c r="I26" t="s">
        <v>13</v>
      </c>
      <c r="K26">
        <v>31</v>
      </c>
      <c r="L26" t="s">
        <v>24</v>
      </c>
      <c r="M26" t="s">
        <v>28</v>
      </c>
    </row>
    <row r="27" spans="1:13" x14ac:dyDescent="0.3">
      <c r="A27" t="s">
        <v>94</v>
      </c>
      <c r="B27" s="8">
        <v>45078</v>
      </c>
      <c r="C27" s="9">
        <v>0.10902777777777778</v>
      </c>
      <c r="D27" t="s">
        <v>95</v>
      </c>
      <c r="E27" t="s">
        <v>91</v>
      </c>
      <c r="F27">
        <v>26</v>
      </c>
      <c r="G27" t="s">
        <v>47</v>
      </c>
      <c r="H27" t="s">
        <v>48</v>
      </c>
      <c r="I27" t="s">
        <v>13</v>
      </c>
      <c r="K27">
        <v>56</v>
      </c>
      <c r="L27" t="s">
        <v>20</v>
      </c>
      <c r="M27" t="s">
        <v>28</v>
      </c>
    </row>
    <row r="28" spans="1:13" x14ac:dyDescent="0.3">
      <c r="A28" t="s">
        <v>96</v>
      </c>
      <c r="B28" s="8">
        <v>45467</v>
      </c>
      <c r="C28" s="9">
        <v>0.80833333333333335</v>
      </c>
      <c r="D28" t="s">
        <v>97</v>
      </c>
      <c r="E28" t="s">
        <v>91</v>
      </c>
      <c r="F28">
        <v>60</v>
      </c>
      <c r="G28" t="s">
        <v>47</v>
      </c>
      <c r="H28" t="s">
        <v>48</v>
      </c>
      <c r="I28" t="s">
        <v>13</v>
      </c>
      <c r="K28">
        <v>37</v>
      </c>
      <c r="L28" t="s">
        <v>23</v>
      </c>
      <c r="M28" t="s">
        <v>28</v>
      </c>
    </row>
    <row r="29" spans="1:13" x14ac:dyDescent="0.3">
      <c r="A29" t="s">
        <v>98</v>
      </c>
      <c r="B29" s="8">
        <v>45447</v>
      </c>
      <c r="C29" s="9">
        <v>6.458333333333334E-2</v>
      </c>
      <c r="D29" t="s">
        <v>99</v>
      </c>
      <c r="E29" t="s">
        <v>91</v>
      </c>
      <c r="F29">
        <v>59</v>
      </c>
      <c r="G29" t="s">
        <v>47</v>
      </c>
      <c r="H29" t="s">
        <v>48</v>
      </c>
      <c r="I29" t="s">
        <v>13</v>
      </c>
      <c r="K29">
        <v>50</v>
      </c>
      <c r="L29" t="s">
        <v>23</v>
      </c>
      <c r="M29" t="s">
        <v>28</v>
      </c>
    </row>
    <row r="30" spans="1:13" x14ac:dyDescent="0.3">
      <c r="A30" t="s">
        <v>100</v>
      </c>
      <c r="B30" s="8">
        <v>45082</v>
      </c>
      <c r="C30" s="9">
        <v>8.3333333333333329E-2</v>
      </c>
      <c r="D30" t="s">
        <v>101</v>
      </c>
      <c r="E30" t="s">
        <v>91</v>
      </c>
      <c r="F30">
        <v>27</v>
      </c>
      <c r="G30" t="s">
        <v>47</v>
      </c>
      <c r="H30" t="s">
        <v>48</v>
      </c>
      <c r="I30" t="s">
        <v>13</v>
      </c>
      <c r="K30">
        <v>37</v>
      </c>
      <c r="L30" t="s">
        <v>20</v>
      </c>
      <c r="M30" t="s">
        <v>28</v>
      </c>
    </row>
    <row r="31" spans="1:13" x14ac:dyDescent="0.3">
      <c r="A31" t="s">
        <v>102</v>
      </c>
      <c r="B31" s="8">
        <v>45456</v>
      </c>
      <c r="C31" s="9">
        <v>0.26458333333333334</v>
      </c>
      <c r="D31" t="s">
        <v>103</v>
      </c>
      <c r="E31" t="s">
        <v>91</v>
      </c>
      <c r="F31">
        <v>35</v>
      </c>
      <c r="G31" t="s">
        <v>47</v>
      </c>
      <c r="H31" t="s">
        <v>48</v>
      </c>
      <c r="I31" t="s">
        <v>13</v>
      </c>
      <c r="K31">
        <v>59</v>
      </c>
      <c r="L31" t="s">
        <v>21</v>
      </c>
      <c r="M31" t="s">
        <v>28</v>
      </c>
    </row>
    <row r="32" spans="1:13" x14ac:dyDescent="0.3">
      <c r="A32" t="s">
        <v>104</v>
      </c>
      <c r="B32" s="8">
        <v>45105</v>
      </c>
      <c r="C32" s="9">
        <v>0.1736111111111111</v>
      </c>
      <c r="D32" t="s">
        <v>105</v>
      </c>
      <c r="E32" t="s">
        <v>91</v>
      </c>
      <c r="F32">
        <v>70</v>
      </c>
      <c r="G32" t="s">
        <v>47</v>
      </c>
      <c r="H32" t="s">
        <v>48</v>
      </c>
      <c r="I32" t="s">
        <v>13</v>
      </c>
      <c r="K32">
        <v>60</v>
      </c>
      <c r="L32" t="s">
        <v>24</v>
      </c>
      <c r="M32" t="s">
        <v>28</v>
      </c>
    </row>
    <row r="33" spans="1:13" x14ac:dyDescent="0.3">
      <c r="A33" t="s">
        <v>106</v>
      </c>
      <c r="B33" s="8">
        <v>45084</v>
      </c>
      <c r="C33" s="9">
        <v>0.94166666666666665</v>
      </c>
      <c r="D33" t="s">
        <v>107</v>
      </c>
      <c r="E33" t="s">
        <v>91</v>
      </c>
      <c r="F33">
        <v>73</v>
      </c>
      <c r="G33" t="s">
        <v>47</v>
      </c>
      <c r="H33" t="s">
        <v>48</v>
      </c>
      <c r="I33" t="s">
        <v>13</v>
      </c>
      <c r="K33">
        <v>54</v>
      </c>
      <c r="L33" t="s">
        <v>25</v>
      </c>
      <c r="M33" t="s">
        <v>28</v>
      </c>
    </row>
    <row r="34" spans="1:13" x14ac:dyDescent="0.3">
      <c r="A34" t="s">
        <v>108</v>
      </c>
      <c r="B34" s="8">
        <v>45458</v>
      </c>
      <c r="C34" s="9">
        <v>0.62361111111111112</v>
      </c>
      <c r="D34" t="s">
        <v>109</v>
      </c>
      <c r="E34" t="s">
        <v>91</v>
      </c>
      <c r="F34">
        <v>54</v>
      </c>
      <c r="G34" t="s">
        <v>47</v>
      </c>
      <c r="H34" t="s">
        <v>48</v>
      </c>
      <c r="I34" t="s">
        <v>13</v>
      </c>
      <c r="K34">
        <v>45</v>
      </c>
      <c r="L34" t="s">
        <v>23</v>
      </c>
      <c r="M34" t="s">
        <v>28</v>
      </c>
    </row>
    <row r="35" spans="1:13" x14ac:dyDescent="0.3">
      <c r="A35" t="s">
        <v>110</v>
      </c>
      <c r="B35" s="8">
        <v>45451</v>
      </c>
      <c r="C35" s="9">
        <v>0.87847222222222221</v>
      </c>
      <c r="D35" t="s">
        <v>111</v>
      </c>
      <c r="E35" t="s">
        <v>91</v>
      </c>
      <c r="F35">
        <v>3</v>
      </c>
      <c r="G35" t="s">
        <v>47</v>
      </c>
      <c r="H35" t="s">
        <v>48</v>
      </c>
      <c r="I35" t="s">
        <v>13</v>
      </c>
      <c r="K35">
        <v>37</v>
      </c>
      <c r="L35" t="s">
        <v>18</v>
      </c>
      <c r="M35" t="s">
        <v>28</v>
      </c>
    </row>
    <row r="36" spans="1:13" x14ac:dyDescent="0.3">
      <c r="A36" t="s">
        <v>112</v>
      </c>
      <c r="B36" s="8">
        <v>45086</v>
      </c>
      <c r="C36" s="9">
        <v>0.31874999999999998</v>
      </c>
      <c r="D36" t="s">
        <v>113</v>
      </c>
      <c r="E36" t="s">
        <v>91</v>
      </c>
      <c r="F36">
        <v>17</v>
      </c>
      <c r="G36" t="s">
        <v>47</v>
      </c>
      <c r="H36" t="s">
        <v>48</v>
      </c>
      <c r="I36" t="s">
        <v>13</v>
      </c>
      <c r="K36">
        <v>46</v>
      </c>
      <c r="L36" t="s">
        <v>19</v>
      </c>
      <c r="M36" t="s">
        <v>28</v>
      </c>
    </row>
    <row r="37" spans="1:13" x14ac:dyDescent="0.3">
      <c r="A37" t="s">
        <v>114</v>
      </c>
      <c r="B37" s="8">
        <v>45469</v>
      </c>
      <c r="C37" s="9">
        <v>0.23055555555555557</v>
      </c>
      <c r="D37" t="s">
        <v>115</v>
      </c>
      <c r="E37" t="s">
        <v>91</v>
      </c>
      <c r="F37">
        <v>61</v>
      </c>
      <c r="G37" t="s">
        <v>47</v>
      </c>
      <c r="H37" t="s">
        <v>48</v>
      </c>
      <c r="I37" t="s">
        <v>13</v>
      </c>
      <c r="K37">
        <v>56</v>
      </c>
      <c r="L37" t="s">
        <v>24</v>
      </c>
      <c r="M37" t="s">
        <v>28</v>
      </c>
    </row>
    <row r="38" spans="1:13" x14ac:dyDescent="0.3">
      <c r="A38" t="s">
        <v>116</v>
      </c>
      <c r="B38" s="8">
        <v>45446</v>
      </c>
      <c r="C38" s="9">
        <v>0.44027777777777777</v>
      </c>
      <c r="D38" t="s">
        <v>117</v>
      </c>
      <c r="E38" t="s">
        <v>91</v>
      </c>
      <c r="F38">
        <v>46</v>
      </c>
      <c r="G38" t="s">
        <v>47</v>
      </c>
      <c r="H38" t="s">
        <v>48</v>
      </c>
      <c r="I38" t="s">
        <v>13</v>
      </c>
      <c r="K38">
        <v>56</v>
      </c>
      <c r="L38" t="s">
        <v>22</v>
      </c>
      <c r="M38" t="s">
        <v>28</v>
      </c>
    </row>
    <row r="39" spans="1:13" x14ac:dyDescent="0.3">
      <c r="A39" t="s">
        <v>118</v>
      </c>
      <c r="B39" s="8">
        <v>45082</v>
      </c>
      <c r="C39" s="9">
        <v>0.50208333333333333</v>
      </c>
      <c r="D39" t="s">
        <v>119</v>
      </c>
      <c r="E39" t="s">
        <v>91</v>
      </c>
      <c r="F39">
        <v>67</v>
      </c>
      <c r="G39" t="s">
        <v>47</v>
      </c>
      <c r="H39" t="s">
        <v>48</v>
      </c>
      <c r="I39" t="s">
        <v>13</v>
      </c>
      <c r="K39">
        <v>51</v>
      </c>
      <c r="L39" t="s">
        <v>24</v>
      </c>
      <c r="M39" t="s">
        <v>28</v>
      </c>
    </row>
    <row r="40" spans="1:13" x14ac:dyDescent="0.3">
      <c r="A40" t="s">
        <v>120</v>
      </c>
      <c r="B40" s="8">
        <v>45080</v>
      </c>
      <c r="C40" s="9">
        <v>0.7006944444444444</v>
      </c>
      <c r="D40" t="s">
        <v>121</v>
      </c>
      <c r="E40" t="s">
        <v>91</v>
      </c>
      <c r="F40">
        <v>23</v>
      </c>
      <c r="G40" t="s">
        <v>47</v>
      </c>
      <c r="H40" t="s">
        <v>48</v>
      </c>
      <c r="I40" t="s">
        <v>13</v>
      </c>
      <c r="K40">
        <v>39</v>
      </c>
      <c r="L40" t="s">
        <v>20</v>
      </c>
      <c r="M40" t="s">
        <v>28</v>
      </c>
    </row>
    <row r="41" spans="1:13" x14ac:dyDescent="0.3">
      <c r="A41" t="s">
        <v>122</v>
      </c>
      <c r="B41" s="8">
        <v>45446</v>
      </c>
      <c r="C41" s="9">
        <v>0.97083333333333333</v>
      </c>
      <c r="D41" t="s">
        <v>123</v>
      </c>
      <c r="E41" t="s">
        <v>91</v>
      </c>
      <c r="F41">
        <v>4</v>
      </c>
      <c r="G41" t="s">
        <v>47</v>
      </c>
      <c r="H41" t="s">
        <v>48</v>
      </c>
      <c r="I41" t="s">
        <v>13</v>
      </c>
      <c r="K41">
        <v>46</v>
      </c>
      <c r="L41" t="s">
        <v>18</v>
      </c>
      <c r="M41" t="s">
        <v>28</v>
      </c>
    </row>
    <row r="42" spans="1:13" x14ac:dyDescent="0.3">
      <c r="A42" t="s">
        <v>124</v>
      </c>
      <c r="B42" s="8">
        <v>45104</v>
      </c>
      <c r="C42" s="9">
        <v>0.22777777777777777</v>
      </c>
      <c r="D42" t="s">
        <v>125</v>
      </c>
      <c r="E42" t="s">
        <v>91</v>
      </c>
      <c r="F42">
        <v>5</v>
      </c>
      <c r="G42" t="s">
        <v>47</v>
      </c>
      <c r="H42" t="s">
        <v>48</v>
      </c>
      <c r="I42" t="s">
        <v>14</v>
      </c>
      <c r="K42">
        <v>43</v>
      </c>
      <c r="L42" t="s">
        <v>18</v>
      </c>
      <c r="M42" t="s">
        <v>28</v>
      </c>
    </row>
    <row r="43" spans="1:13" x14ac:dyDescent="0.3">
      <c r="A43" t="s">
        <v>126</v>
      </c>
      <c r="B43" s="8">
        <v>45104</v>
      </c>
      <c r="C43" s="9">
        <v>0.70208333333333328</v>
      </c>
      <c r="D43" t="s">
        <v>127</v>
      </c>
      <c r="E43" t="s">
        <v>91</v>
      </c>
      <c r="F43">
        <v>38</v>
      </c>
      <c r="G43" t="s">
        <v>47</v>
      </c>
      <c r="H43" t="s">
        <v>48</v>
      </c>
      <c r="I43" t="s">
        <v>14</v>
      </c>
      <c r="K43">
        <v>52</v>
      </c>
      <c r="L43" t="s">
        <v>21</v>
      </c>
      <c r="M43" t="s">
        <v>28</v>
      </c>
    </row>
    <row r="44" spans="1:13" x14ac:dyDescent="0.3">
      <c r="A44" t="s">
        <v>128</v>
      </c>
      <c r="B44" s="8">
        <v>45099</v>
      </c>
      <c r="C44" s="9">
        <v>0.85555555555555551</v>
      </c>
      <c r="D44" t="s">
        <v>129</v>
      </c>
      <c r="E44" t="s">
        <v>91</v>
      </c>
      <c r="F44">
        <v>19</v>
      </c>
      <c r="G44" t="s">
        <v>47</v>
      </c>
      <c r="H44" t="s">
        <v>48</v>
      </c>
      <c r="I44" t="s">
        <v>14</v>
      </c>
      <c r="K44">
        <v>52</v>
      </c>
      <c r="L44" t="s">
        <v>19</v>
      </c>
      <c r="M44" t="s">
        <v>28</v>
      </c>
    </row>
    <row r="45" spans="1:13" x14ac:dyDescent="0.3">
      <c r="A45" t="s">
        <v>130</v>
      </c>
      <c r="B45" s="8">
        <v>45466</v>
      </c>
      <c r="C45" s="9">
        <v>0.36319444444444443</v>
      </c>
      <c r="D45" t="s">
        <v>131</v>
      </c>
      <c r="E45" t="s">
        <v>91</v>
      </c>
      <c r="F45">
        <v>15</v>
      </c>
      <c r="G45" t="s">
        <v>47</v>
      </c>
      <c r="H45" t="s">
        <v>48</v>
      </c>
      <c r="I45" t="s">
        <v>14</v>
      </c>
      <c r="K45">
        <v>33</v>
      </c>
      <c r="L45" t="s">
        <v>19</v>
      </c>
      <c r="M45" t="s">
        <v>28</v>
      </c>
    </row>
    <row r="46" spans="1:13" x14ac:dyDescent="0.3">
      <c r="A46" t="s">
        <v>132</v>
      </c>
      <c r="B46" s="8">
        <v>45460</v>
      </c>
      <c r="C46" s="9">
        <v>0.58750000000000002</v>
      </c>
      <c r="D46" t="s">
        <v>133</v>
      </c>
      <c r="E46" t="s">
        <v>91</v>
      </c>
      <c r="F46">
        <v>9</v>
      </c>
      <c r="G46" t="s">
        <v>47</v>
      </c>
      <c r="H46" t="s">
        <v>48</v>
      </c>
      <c r="I46" t="s">
        <v>14</v>
      </c>
      <c r="K46">
        <v>44</v>
      </c>
      <c r="L46" t="s">
        <v>18</v>
      </c>
      <c r="M46" t="s">
        <v>28</v>
      </c>
    </row>
    <row r="47" spans="1:13" x14ac:dyDescent="0.3">
      <c r="A47" t="s">
        <v>134</v>
      </c>
      <c r="B47" s="8">
        <v>45079</v>
      </c>
      <c r="C47" s="9">
        <v>1.6666666666666666E-2</v>
      </c>
      <c r="D47" t="s">
        <v>135</v>
      </c>
      <c r="E47" t="s">
        <v>91</v>
      </c>
      <c r="F47">
        <v>16</v>
      </c>
      <c r="G47" t="s">
        <v>47</v>
      </c>
      <c r="H47" t="s">
        <v>48</v>
      </c>
      <c r="I47" t="s">
        <v>14</v>
      </c>
      <c r="K47">
        <v>32</v>
      </c>
      <c r="L47" t="s">
        <v>19</v>
      </c>
      <c r="M47" t="s">
        <v>28</v>
      </c>
    </row>
    <row r="48" spans="1:13" x14ac:dyDescent="0.3">
      <c r="A48" t="s">
        <v>136</v>
      </c>
      <c r="B48" s="8">
        <v>45446</v>
      </c>
      <c r="C48" s="9">
        <v>3.4027777777777775E-2</v>
      </c>
      <c r="D48" t="s">
        <v>137</v>
      </c>
      <c r="E48" t="s">
        <v>91</v>
      </c>
      <c r="F48">
        <v>18</v>
      </c>
      <c r="G48" t="s">
        <v>47</v>
      </c>
      <c r="H48" t="s">
        <v>48</v>
      </c>
      <c r="I48" t="s">
        <v>14</v>
      </c>
      <c r="K48">
        <v>35</v>
      </c>
      <c r="L48" t="s">
        <v>19</v>
      </c>
      <c r="M48" t="s">
        <v>28</v>
      </c>
    </row>
    <row r="49" spans="1:13" x14ac:dyDescent="0.3">
      <c r="A49" t="s">
        <v>138</v>
      </c>
      <c r="B49" s="8">
        <v>45454</v>
      </c>
      <c r="C49" s="9">
        <v>0.88263888888888886</v>
      </c>
      <c r="D49" t="s">
        <v>139</v>
      </c>
      <c r="E49" t="s">
        <v>91</v>
      </c>
      <c r="F49">
        <v>32</v>
      </c>
      <c r="G49" t="s">
        <v>47</v>
      </c>
      <c r="H49" t="s">
        <v>48</v>
      </c>
      <c r="I49" t="s">
        <v>14</v>
      </c>
      <c r="K49">
        <v>37</v>
      </c>
      <c r="L49" t="s">
        <v>21</v>
      </c>
      <c r="M49" t="s">
        <v>28</v>
      </c>
    </row>
    <row r="50" spans="1:13" x14ac:dyDescent="0.3">
      <c r="A50" t="s">
        <v>140</v>
      </c>
      <c r="B50" s="8">
        <v>45472</v>
      </c>
      <c r="C50" s="9">
        <v>0.8208333333333333</v>
      </c>
      <c r="D50" t="s">
        <v>141</v>
      </c>
      <c r="E50" t="s">
        <v>91</v>
      </c>
      <c r="F50">
        <v>27</v>
      </c>
      <c r="G50" t="s">
        <v>47</v>
      </c>
      <c r="H50" t="s">
        <v>48</v>
      </c>
      <c r="I50" t="s">
        <v>14</v>
      </c>
      <c r="K50">
        <v>39</v>
      </c>
      <c r="L50" t="s">
        <v>20</v>
      </c>
      <c r="M50" t="s">
        <v>28</v>
      </c>
    </row>
    <row r="51" spans="1:13" x14ac:dyDescent="0.3">
      <c r="A51" t="s">
        <v>142</v>
      </c>
      <c r="B51" s="8">
        <v>45086</v>
      </c>
      <c r="C51" s="9">
        <v>0.19375000000000001</v>
      </c>
      <c r="D51" t="s">
        <v>143</v>
      </c>
      <c r="E51" t="s">
        <v>91</v>
      </c>
      <c r="F51">
        <v>5</v>
      </c>
      <c r="G51" t="s">
        <v>47</v>
      </c>
      <c r="H51" t="s">
        <v>48</v>
      </c>
      <c r="I51" t="s">
        <v>14</v>
      </c>
      <c r="K51">
        <v>59</v>
      </c>
      <c r="L51" t="s">
        <v>18</v>
      </c>
      <c r="M51" t="s">
        <v>28</v>
      </c>
    </row>
    <row r="52" spans="1:13" x14ac:dyDescent="0.3">
      <c r="A52" t="s">
        <v>144</v>
      </c>
      <c r="B52" s="8">
        <v>45462</v>
      </c>
      <c r="C52" s="9">
        <v>0.42222222222222222</v>
      </c>
      <c r="D52" t="s">
        <v>145</v>
      </c>
      <c r="E52" t="s">
        <v>91</v>
      </c>
      <c r="F52">
        <v>50</v>
      </c>
      <c r="G52" t="s">
        <v>47</v>
      </c>
      <c r="H52" t="s">
        <v>48</v>
      </c>
      <c r="I52" t="s">
        <v>14</v>
      </c>
      <c r="K52">
        <v>38</v>
      </c>
      <c r="L52" t="s">
        <v>22</v>
      </c>
      <c r="M52" t="s">
        <v>28</v>
      </c>
    </row>
    <row r="53" spans="1:13" x14ac:dyDescent="0.3">
      <c r="A53" t="s">
        <v>146</v>
      </c>
      <c r="B53" s="8">
        <v>45103</v>
      </c>
      <c r="C53" s="9">
        <v>0.8</v>
      </c>
      <c r="D53" t="s">
        <v>147</v>
      </c>
      <c r="E53" t="s">
        <v>91</v>
      </c>
      <c r="F53">
        <v>22</v>
      </c>
      <c r="G53" t="s">
        <v>47</v>
      </c>
      <c r="H53" t="s">
        <v>48</v>
      </c>
      <c r="I53" t="s">
        <v>14</v>
      </c>
      <c r="K53">
        <v>56</v>
      </c>
      <c r="L53" t="s">
        <v>20</v>
      </c>
      <c r="M53" t="s">
        <v>28</v>
      </c>
    </row>
    <row r="54" spans="1:13" x14ac:dyDescent="0.3">
      <c r="A54" t="s">
        <v>148</v>
      </c>
      <c r="B54" s="8">
        <v>45465</v>
      </c>
      <c r="C54" s="9">
        <v>0.19791666666666666</v>
      </c>
      <c r="D54" t="s">
        <v>149</v>
      </c>
      <c r="E54" t="s">
        <v>91</v>
      </c>
      <c r="F54">
        <v>64</v>
      </c>
      <c r="G54" t="s">
        <v>47</v>
      </c>
      <c r="H54" t="s">
        <v>48</v>
      </c>
      <c r="I54" t="s">
        <v>14</v>
      </c>
      <c r="K54">
        <v>51</v>
      </c>
      <c r="L54" t="s">
        <v>24</v>
      </c>
      <c r="M54" t="s">
        <v>28</v>
      </c>
    </row>
    <row r="55" spans="1:13" x14ac:dyDescent="0.3">
      <c r="A55" t="s">
        <v>150</v>
      </c>
      <c r="B55" s="8">
        <v>45089</v>
      </c>
      <c r="C55" s="9">
        <v>0.77986111111111112</v>
      </c>
      <c r="D55" t="s">
        <v>151</v>
      </c>
      <c r="E55" t="s">
        <v>91</v>
      </c>
      <c r="F55">
        <v>7</v>
      </c>
      <c r="G55" t="s">
        <v>47</v>
      </c>
      <c r="H55" t="s">
        <v>48</v>
      </c>
      <c r="I55" t="s">
        <v>14</v>
      </c>
      <c r="K55">
        <v>52</v>
      </c>
      <c r="L55" t="s">
        <v>18</v>
      </c>
      <c r="M55" t="s">
        <v>28</v>
      </c>
    </row>
    <row r="56" spans="1:13" x14ac:dyDescent="0.3">
      <c r="A56" t="s">
        <v>152</v>
      </c>
      <c r="B56" s="8">
        <v>45471</v>
      </c>
      <c r="C56" s="9">
        <v>0.30416666666666664</v>
      </c>
      <c r="D56" t="s">
        <v>153</v>
      </c>
      <c r="E56" t="s">
        <v>46</v>
      </c>
      <c r="F56">
        <v>21</v>
      </c>
      <c r="G56" t="s">
        <v>47</v>
      </c>
      <c r="H56" t="s">
        <v>48</v>
      </c>
      <c r="I56" t="s">
        <v>14</v>
      </c>
      <c r="K56">
        <v>41</v>
      </c>
      <c r="L56" t="s">
        <v>20</v>
      </c>
      <c r="M56" t="s">
        <v>28</v>
      </c>
    </row>
    <row r="57" spans="1:13" x14ac:dyDescent="0.3">
      <c r="A57" t="s">
        <v>154</v>
      </c>
      <c r="B57" s="8">
        <v>45473</v>
      </c>
      <c r="C57" s="9">
        <v>0.64097222222222228</v>
      </c>
      <c r="D57" t="s">
        <v>155</v>
      </c>
      <c r="E57" t="s">
        <v>46</v>
      </c>
      <c r="F57">
        <v>65</v>
      </c>
      <c r="G57" t="s">
        <v>47</v>
      </c>
      <c r="H57" t="s">
        <v>48</v>
      </c>
      <c r="I57" t="s">
        <v>14</v>
      </c>
      <c r="K57">
        <v>54</v>
      </c>
      <c r="L57" t="s">
        <v>24</v>
      </c>
      <c r="M57" t="s">
        <v>28</v>
      </c>
    </row>
    <row r="58" spans="1:13" x14ac:dyDescent="0.3">
      <c r="A58" t="s">
        <v>156</v>
      </c>
      <c r="B58" s="8">
        <v>45466</v>
      </c>
      <c r="C58" s="9">
        <v>0.2048611111111111</v>
      </c>
      <c r="D58" t="s">
        <v>157</v>
      </c>
      <c r="E58" t="s">
        <v>46</v>
      </c>
      <c r="F58">
        <v>15</v>
      </c>
      <c r="G58" t="s">
        <v>47</v>
      </c>
      <c r="H58" t="s">
        <v>48</v>
      </c>
      <c r="I58" t="s">
        <v>14</v>
      </c>
      <c r="K58">
        <v>37</v>
      </c>
      <c r="L58" t="s">
        <v>19</v>
      </c>
      <c r="M58" t="s">
        <v>28</v>
      </c>
    </row>
    <row r="59" spans="1:13" x14ac:dyDescent="0.3">
      <c r="A59" t="s">
        <v>158</v>
      </c>
      <c r="B59" s="8">
        <v>45081</v>
      </c>
      <c r="C59" s="9">
        <v>0.59722222222222221</v>
      </c>
      <c r="D59" t="s">
        <v>159</v>
      </c>
      <c r="E59" t="s">
        <v>46</v>
      </c>
      <c r="F59">
        <v>48</v>
      </c>
      <c r="G59" t="s">
        <v>47</v>
      </c>
      <c r="H59" t="s">
        <v>48</v>
      </c>
      <c r="I59" t="s">
        <v>14</v>
      </c>
      <c r="K59">
        <v>44</v>
      </c>
      <c r="L59" t="s">
        <v>22</v>
      </c>
      <c r="M59" t="s">
        <v>28</v>
      </c>
    </row>
    <row r="60" spans="1:13" x14ac:dyDescent="0.3">
      <c r="A60" t="s">
        <v>160</v>
      </c>
      <c r="B60" s="8">
        <v>45078</v>
      </c>
      <c r="C60" s="9">
        <v>0.13333333333333333</v>
      </c>
      <c r="D60" t="s">
        <v>161</v>
      </c>
      <c r="E60" t="s">
        <v>46</v>
      </c>
      <c r="F60">
        <v>36</v>
      </c>
      <c r="G60" t="s">
        <v>47</v>
      </c>
      <c r="H60" t="s">
        <v>48</v>
      </c>
      <c r="I60" t="s">
        <v>14</v>
      </c>
      <c r="K60">
        <v>37</v>
      </c>
      <c r="L60" t="s">
        <v>21</v>
      </c>
      <c r="M60" t="s">
        <v>28</v>
      </c>
    </row>
    <row r="61" spans="1:13" x14ac:dyDescent="0.3">
      <c r="A61" t="s">
        <v>162</v>
      </c>
      <c r="B61" s="8">
        <v>45468</v>
      </c>
      <c r="C61" s="9">
        <v>0.69861111111111107</v>
      </c>
      <c r="D61" t="s">
        <v>163</v>
      </c>
      <c r="E61" t="s">
        <v>46</v>
      </c>
      <c r="F61">
        <v>27</v>
      </c>
      <c r="G61" t="s">
        <v>47</v>
      </c>
      <c r="H61" t="s">
        <v>48</v>
      </c>
      <c r="I61" t="s">
        <v>14</v>
      </c>
      <c r="K61">
        <v>59</v>
      </c>
      <c r="L61" t="s">
        <v>20</v>
      </c>
      <c r="M61" t="s">
        <v>28</v>
      </c>
    </row>
    <row r="62" spans="1:13" x14ac:dyDescent="0.3">
      <c r="A62" t="s">
        <v>164</v>
      </c>
      <c r="B62" s="8">
        <v>45085</v>
      </c>
      <c r="C62" s="9">
        <v>0.12638888888888888</v>
      </c>
      <c r="D62" t="s">
        <v>165</v>
      </c>
      <c r="E62" t="s">
        <v>46</v>
      </c>
      <c r="F62">
        <v>25</v>
      </c>
      <c r="G62" t="s">
        <v>47</v>
      </c>
      <c r="H62" t="s">
        <v>48</v>
      </c>
      <c r="I62" t="s">
        <v>14</v>
      </c>
      <c r="K62">
        <v>45</v>
      </c>
      <c r="L62" t="s">
        <v>20</v>
      </c>
      <c r="M62" t="s">
        <v>28</v>
      </c>
    </row>
    <row r="63" spans="1:13" x14ac:dyDescent="0.3">
      <c r="A63" t="s">
        <v>166</v>
      </c>
      <c r="B63" s="8">
        <v>45456</v>
      </c>
      <c r="C63" s="9">
        <v>0.76111111111111107</v>
      </c>
      <c r="D63" t="s">
        <v>167</v>
      </c>
      <c r="E63" t="s">
        <v>46</v>
      </c>
      <c r="F63">
        <v>77</v>
      </c>
      <c r="G63" t="s">
        <v>47</v>
      </c>
      <c r="H63" t="s">
        <v>48</v>
      </c>
      <c r="I63" t="s">
        <v>14</v>
      </c>
      <c r="K63">
        <v>50</v>
      </c>
      <c r="L63" t="s">
        <v>25</v>
      </c>
      <c r="M63" t="s">
        <v>28</v>
      </c>
    </row>
    <row r="64" spans="1:13" x14ac:dyDescent="0.3">
      <c r="A64" t="s">
        <v>168</v>
      </c>
      <c r="B64" s="8">
        <v>45456</v>
      </c>
      <c r="C64" s="9">
        <v>0.19027777777777777</v>
      </c>
      <c r="D64" t="s">
        <v>169</v>
      </c>
      <c r="E64" t="s">
        <v>46</v>
      </c>
      <c r="F64">
        <v>55</v>
      </c>
      <c r="G64" t="s">
        <v>47</v>
      </c>
      <c r="H64" t="s">
        <v>48</v>
      </c>
      <c r="I64" t="s">
        <v>14</v>
      </c>
      <c r="K64">
        <v>51</v>
      </c>
      <c r="L64" t="s">
        <v>23</v>
      </c>
      <c r="M64" t="s">
        <v>28</v>
      </c>
    </row>
    <row r="65" spans="1:13" x14ac:dyDescent="0.3">
      <c r="A65" t="s">
        <v>170</v>
      </c>
      <c r="B65" s="8">
        <v>45464</v>
      </c>
      <c r="C65" s="9">
        <v>0.62777777777777777</v>
      </c>
      <c r="D65" t="s">
        <v>171</v>
      </c>
      <c r="E65" t="s">
        <v>46</v>
      </c>
      <c r="F65">
        <v>73</v>
      </c>
      <c r="G65" t="s">
        <v>47</v>
      </c>
      <c r="H65" t="s">
        <v>48</v>
      </c>
      <c r="I65" t="s">
        <v>14</v>
      </c>
      <c r="K65">
        <v>32</v>
      </c>
      <c r="L65" t="s">
        <v>25</v>
      </c>
      <c r="M65" t="s">
        <v>28</v>
      </c>
    </row>
    <row r="66" spans="1:13" x14ac:dyDescent="0.3">
      <c r="A66" t="s">
        <v>172</v>
      </c>
      <c r="B66" s="8">
        <v>45451</v>
      </c>
      <c r="C66" s="9">
        <v>0.64513888888888893</v>
      </c>
      <c r="D66" t="s">
        <v>173</v>
      </c>
      <c r="E66" t="s">
        <v>46</v>
      </c>
      <c r="F66">
        <v>9</v>
      </c>
      <c r="G66" t="s">
        <v>47</v>
      </c>
      <c r="H66" t="s">
        <v>48</v>
      </c>
      <c r="I66" t="s">
        <v>14</v>
      </c>
      <c r="K66">
        <v>36</v>
      </c>
      <c r="L66" t="s">
        <v>18</v>
      </c>
      <c r="M66" t="s">
        <v>28</v>
      </c>
    </row>
    <row r="67" spans="1:13" x14ac:dyDescent="0.3">
      <c r="A67" t="s">
        <v>174</v>
      </c>
      <c r="B67" s="8">
        <v>45458</v>
      </c>
      <c r="C67" s="9">
        <v>0.83611111111111114</v>
      </c>
      <c r="D67" t="s">
        <v>175</v>
      </c>
      <c r="E67" t="s">
        <v>46</v>
      </c>
      <c r="F67">
        <v>49</v>
      </c>
      <c r="G67" t="s">
        <v>47</v>
      </c>
      <c r="H67" t="s">
        <v>48</v>
      </c>
      <c r="I67" t="s">
        <v>14</v>
      </c>
      <c r="K67">
        <v>49</v>
      </c>
      <c r="L67" t="s">
        <v>22</v>
      </c>
      <c r="M67" t="s">
        <v>28</v>
      </c>
    </row>
    <row r="68" spans="1:13" x14ac:dyDescent="0.3">
      <c r="A68" t="s">
        <v>176</v>
      </c>
      <c r="B68" s="8">
        <v>45471</v>
      </c>
      <c r="C68" s="9">
        <v>0.37847222222222221</v>
      </c>
      <c r="D68" t="s">
        <v>177</v>
      </c>
      <c r="E68" t="s">
        <v>46</v>
      </c>
      <c r="F68">
        <v>65</v>
      </c>
      <c r="G68" t="s">
        <v>47</v>
      </c>
      <c r="H68" t="s">
        <v>48</v>
      </c>
      <c r="I68" t="s">
        <v>14</v>
      </c>
      <c r="K68">
        <v>57</v>
      </c>
      <c r="L68" t="s">
        <v>24</v>
      </c>
      <c r="M68" t="s">
        <v>28</v>
      </c>
    </row>
    <row r="69" spans="1:13" x14ac:dyDescent="0.3">
      <c r="A69" t="s">
        <v>178</v>
      </c>
      <c r="B69" s="8">
        <v>45460</v>
      </c>
      <c r="C69" s="9">
        <v>0.17777777777777778</v>
      </c>
      <c r="D69" t="s">
        <v>179</v>
      </c>
      <c r="E69" t="s">
        <v>46</v>
      </c>
      <c r="F69">
        <v>3</v>
      </c>
      <c r="G69" t="s">
        <v>47</v>
      </c>
      <c r="H69" t="s">
        <v>48</v>
      </c>
      <c r="I69" t="s">
        <v>14</v>
      </c>
      <c r="K69">
        <v>50</v>
      </c>
      <c r="L69" t="s">
        <v>18</v>
      </c>
      <c r="M69" t="s">
        <v>28</v>
      </c>
    </row>
    <row r="70" spans="1:13" x14ac:dyDescent="0.3">
      <c r="A70" t="s">
        <v>180</v>
      </c>
      <c r="B70" s="8">
        <v>45083</v>
      </c>
      <c r="C70" s="9">
        <v>0.2722222222222222</v>
      </c>
      <c r="D70" t="s">
        <v>181</v>
      </c>
      <c r="E70" t="s">
        <v>46</v>
      </c>
      <c r="F70">
        <v>28</v>
      </c>
      <c r="G70" t="s">
        <v>47</v>
      </c>
      <c r="H70" t="s">
        <v>48</v>
      </c>
      <c r="I70" t="s">
        <v>14</v>
      </c>
      <c r="K70">
        <v>37</v>
      </c>
      <c r="L70" t="s">
        <v>20</v>
      </c>
      <c r="M70" t="s">
        <v>28</v>
      </c>
    </row>
    <row r="71" spans="1:13" x14ac:dyDescent="0.3">
      <c r="A71" t="s">
        <v>182</v>
      </c>
      <c r="B71" s="8">
        <v>45091</v>
      </c>
      <c r="C71" s="9">
        <v>0.35902777777777778</v>
      </c>
      <c r="D71" t="s">
        <v>183</v>
      </c>
      <c r="E71" t="s">
        <v>46</v>
      </c>
      <c r="F71">
        <v>61</v>
      </c>
      <c r="G71" t="s">
        <v>47</v>
      </c>
      <c r="H71" t="s">
        <v>48</v>
      </c>
      <c r="I71" t="s">
        <v>14</v>
      </c>
      <c r="K71">
        <v>56</v>
      </c>
      <c r="L71" t="s">
        <v>24</v>
      </c>
      <c r="M71" t="s">
        <v>28</v>
      </c>
    </row>
    <row r="72" spans="1:13" x14ac:dyDescent="0.3">
      <c r="A72" t="s">
        <v>184</v>
      </c>
      <c r="B72" s="8">
        <v>45471</v>
      </c>
      <c r="C72" s="9">
        <v>0.83680555555555558</v>
      </c>
      <c r="D72" t="s">
        <v>185</v>
      </c>
      <c r="E72" t="s">
        <v>46</v>
      </c>
      <c r="F72">
        <v>1</v>
      </c>
      <c r="G72" t="s">
        <v>47</v>
      </c>
      <c r="H72" t="s">
        <v>48</v>
      </c>
      <c r="I72" t="s">
        <v>14</v>
      </c>
      <c r="K72">
        <v>35</v>
      </c>
      <c r="L72" t="s">
        <v>18</v>
      </c>
      <c r="M72" t="s">
        <v>28</v>
      </c>
    </row>
    <row r="73" spans="1:13" x14ac:dyDescent="0.3">
      <c r="A73" t="s">
        <v>186</v>
      </c>
      <c r="B73" s="8">
        <v>45097</v>
      </c>
      <c r="C73" s="9">
        <v>0.93333333333333335</v>
      </c>
      <c r="D73" t="s">
        <v>187</v>
      </c>
      <c r="E73" t="s">
        <v>46</v>
      </c>
      <c r="F73">
        <v>40</v>
      </c>
      <c r="G73" t="s">
        <v>47</v>
      </c>
      <c r="H73" t="s">
        <v>48</v>
      </c>
      <c r="I73" t="s">
        <v>14</v>
      </c>
      <c r="K73">
        <v>59</v>
      </c>
      <c r="L73" t="s">
        <v>21</v>
      </c>
      <c r="M73" t="s">
        <v>28</v>
      </c>
    </row>
    <row r="74" spans="1:13" x14ac:dyDescent="0.3">
      <c r="A74" t="s">
        <v>188</v>
      </c>
      <c r="B74" s="8">
        <v>45097</v>
      </c>
      <c r="C74" s="9">
        <v>0.47638888888888886</v>
      </c>
      <c r="D74" t="s">
        <v>189</v>
      </c>
      <c r="E74" t="s">
        <v>46</v>
      </c>
      <c r="F74">
        <v>9</v>
      </c>
      <c r="G74" t="s">
        <v>47</v>
      </c>
      <c r="H74" t="s">
        <v>48</v>
      </c>
      <c r="I74" t="s">
        <v>14</v>
      </c>
      <c r="K74">
        <v>48</v>
      </c>
      <c r="L74" t="s">
        <v>18</v>
      </c>
      <c r="M74" t="s">
        <v>28</v>
      </c>
    </row>
    <row r="75" spans="1:13" x14ac:dyDescent="0.3">
      <c r="A75" t="s">
        <v>190</v>
      </c>
      <c r="B75" s="8">
        <v>45080</v>
      </c>
      <c r="C75" s="9">
        <v>6.805555555555555E-2</v>
      </c>
      <c r="D75" t="s">
        <v>191</v>
      </c>
      <c r="E75" t="s">
        <v>46</v>
      </c>
      <c r="F75">
        <v>73</v>
      </c>
      <c r="G75" t="s">
        <v>192</v>
      </c>
      <c r="H75" t="s">
        <v>48</v>
      </c>
      <c r="I75" t="s">
        <v>14</v>
      </c>
      <c r="K75">
        <v>60</v>
      </c>
      <c r="L75" t="s">
        <v>25</v>
      </c>
      <c r="M75" t="s">
        <v>28</v>
      </c>
    </row>
    <row r="76" spans="1:13" x14ac:dyDescent="0.3">
      <c r="A76" t="s">
        <v>193</v>
      </c>
      <c r="B76" s="8">
        <v>45099</v>
      </c>
      <c r="C76" s="9">
        <v>0.5180555555555556</v>
      </c>
      <c r="D76" t="s">
        <v>194</v>
      </c>
      <c r="E76" t="s">
        <v>46</v>
      </c>
      <c r="F76">
        <v>42</v>
      </c>
      <c r="G76" t="s">
        <v>192</v>
      </c>
      <c r="H76" t="s">
        <v>48</v>
      </c>
      <c r="I76" t="s">
        <v>14</v>
      </c>
      <c r="K76">
        <v>55</v>
      </c>
      <c r="L76" t="s">
        <v>22</v>
      </c>
      <c r="M76" t="s">
        <v>28</v>
      </c>
    </row>
    <row r="77" spans="1:13" x14ac:dyDescent="0.3">
      <c r="A77" t="s">
        <v>195</v>
      </c>
      <c r="B77" s="8">
        <v>45459</v>
      </c>
      <c r="C77" s="9">
        <v>0.64166666666666672</v>
      </c>
      <c r="D77" t="s">
        <v>196</v>
      </c>
      <c r="E77" t="s">
        <v>46</v>
      </c>
      <c r="F77">
        <v>24</v>
      </c>
      <c r="G77" t="s">
        <v>192</v>
      </c>
      <c r="H77" t="s">
        <v>48</v>
      </c>
      <c r="I77" t="s">
        <v>14</v>
      </c>
      <c r="K77">
        <v>46</v>
      </c>
      <c r="L77" t="s">
        <v>20</v>
      </c>
      <c r="M77" t="s">
        <v>28</v>
      </c>
    </row>
    <row r="78" spans="1:13" x14ac:dyDescent="0.3">
      <c r="A78" t="s">
        <v>197</v>
      </c>
      <c r="B78" s="8">
        <v>45466</v>
      </c>
      <c r="C78" s="9">
        <v>0.58680555555555558</v>
      </c>
      <c r="D78" t="s">
        <v>198</v>
      </c>
      <c r="E78" t="s">
        <v>46</v>
      </c>
      <c r="F78">
        <v>31</v>
      </c>
      <c r="G78" t="s">
        <v>192</v>
      </c>
      <c r="H78" t="s">
        <v>48</v>
      </c>
      <c r="I78" t="s">
        <v>14</v>
      </c>
      <c r="K78">
        <v>60</v>
      </c>
      <c r="L78" t="s">
        <v>21</v>
      </c>
      <c r="M78" t="s">
        <v>28</v>
      </c>
    </row>
    <row r="79" spans="1:13" x14ac:dyDescent="0.3">
      <c r="A79" t="s">
        <v>199</v>
      </c>
      <c r="B79" s="8">
        <v>45445</v>
      </c>
      <c r="C79" s="9">
        <v>0.64513888888888893</v>
      </c>
      <c r="D79" t="s">
        <v>200</v>
      </c>
      <c r="E79" t="s">
        <v>46</v>
      </c>
      <c r="F79">
        <v>23</v>
      </c>
      <c r="G79" t="s">
        <v>192</v>
      </c>
      <c r="H79" t="s">
        <v>48</v>
      </c>
      <c r="I79" t="s">
        <v>14</v>
      </c>
      <c r="K79">
        <v>48</v>
      </c>
      <c r="L79" t="s">
        <v>20</v>
      </c>
      <c r="M79" t="s">
        <v>28</v>
      </c>
    </row>
    <row r="80" spans="1:13" x14ac:dyDescent="0.3">
      <c r="A80" t="s">
        <v>201</v>
      </c>
      <c r="B80" s="8">
        <v>45087</v>
      </c>
      <c r="C80" s="9">
        <v>0.28125</v>
      </c>
      <c r="D80" t="s">
        <v>202</v>
      </c>
      <c r="E80" t="s">
        <v>46</v>
      </c>
      <c r="F80">
        <v>22</v>
      </c>
      <c r="G80" t="s">
        <v>192</v>
      </c>
      <c r="H80" t="s">
        <v>48</v>
      </c>
      <c r="I80" t="s">
        <v>14</v>
      </c>
      <c r="K80">
        <v>41</v>
      </c>
      <c r="L80" t="s">
        <v>20</v>
      </c>
      <c r="M80" t="s">
        <v>28</v>
      </c>
    </row>
    <row r="81" spans="1:13" x14ac:dyDescent="0.3">
      <c r="A81" t="s">
        <v>203</v>
      </c>
      <c r="B81" s="8">
        <v>45463</v>
      </c>
      <c r="C81" s="9">
        <v>0.35</v>
      </c>
      <c r="D81" t="s">
        <v>204</v>
      </c>
      <c r="E81" t="s">
        <v>46</v>
      </c>
      <c r="F81">
        <v>45</v>
      </c>
      <c r="G81" t="s">
        <v>192</v>
      </c>
      <c r="H81" t="s">
        <v>48</v>
      </c>
      <c r="I81" t="s">
        <v>14</v>
      </c>
      <c r="K81">
        <v>40</v>
      </c>
      <c r="L81" t="s">
        <v>22</v>
      </c>
      <c r="M81" t="s">
        <v>28</v>
      </c>
    </row>
    <row r="82" spans="1:13" x14ac:dyDescent="0.3">
      <c r="A82" t="s">
        <v>205</v>
      </c>
      <c r="B82" s="8">
        <v>45445</v>
      </c>
      <c r="C82" s="9">
        <v>0.52638888888888891</v>
      </c>
      <c r="D82" t="s">
        <v>206</v>
      </c>
      <c r="E82" t="s">
        <v>46</v>
      </c>
      <c r="F82">
        <v>57</v>
      </c>
      <c r="G82" t="s">
        <v>192</v>
      </c>
      <c r="H82" t="s">
        <v>48</v>
      </c>
      <c r="I82" t="s">
        <v>14</v>
      </c>
      <c r="K82">
        <v>43</v>
      </c>
      <c r="L82" t="s">
        <v>23</v>
      </c>
      <c r="M82" t="s">
        <v>28</v>
      </c>
    </row>
    <row r="83" spans="1:13" x14ac:dyDescent="0.3">
      <c r="A83" t="s">
        <v>207</v>
      </c>
      <c r="B83" s="8">
        <v>45090</v>
      </c>
      <c r="C83" s="9">
        <v>0.56666666666666665</v>
      </c>
      <c r="D83" t="s">
        <v>208</v>
      </c>
      <c r="E83" t="s">
        <v>46</v>
      </c>
      <c r="F83">
        <v>39</v>
      </c>
      <c r="G83" t="s">
        <v>192</v>
      </c>
      <c r="H83" t="s">
        <v>48</v>
      </c>
      <c r="I83" t="s">
        <v>14</v>
      </c>
      <c r="K83">
        <v>37</v>
      </c>
      <c r="L83" t="s">
        <v>21</v>
      </c>
      <c r="M83" t="s">
        <v>28</v>
      </c>
    </row>
    <row r="84" spans="1:13" x14ac:dyDescent="0.3">
      <c r="A84" t="s">
        <v>209</v>
      </c>
      <c r="B84" s="8">
        <v>45089</v>
      </c>
      <c r="C84" s="9">
        <v>0.94861111111111107</v>
      </c>
      <c r="D84" t="s">
        <v>210</v>
      </c>
      <c r="E84" t="s">
        <v>46</v>
      </c>
      <c r="F84">
        <v>20</v>
      </c>
      <c r="G84" t="s">
        <v>192</v>
      </c>
      <c r="H84" t="s">
        <v>48</v>
      </c>
      <c r="I84" t="s">
        <v>14</v>
      </c>
      <c r="K84">
        <v>56</v>
      </c>
      <c r="L84" t="s">
        <v>19</v>
      </c>
      <c r="M84" t="s">
        <v>28</v>
      </c>
    </row>
    <row r="85" spans="1:13" x14ac:dyDescent="0.3">
      <c r="A85" t="s">
        <v>211</v>
      </c>
      <c r="B85" s="8">
        <v>45090</v>
      </c>
      <c r="C85" s="9">
        <v>7.5694444444444439E-2</v>
      </c>
      <c r="D85" t="s">
        <v>212</v>
      </c>
      <c r="E85" t="s">
        <v>46</v>
      </c>
      <c r="F85">
        <v>59</v>
      </c>
      <c r="G85" t="s">
        <v>192</v>
      </c>
      <c r="H85" t="s">
        <v>48</v>
      </c>
      <c r="I85" t="s">
        <v>14</v>
      </c>
      <c r="K85">
        <v>37</v>
      </c>
      <c r="L85" t="s">
        <v>23</v>
      </c>
      <c r="M85" t="s">
        <v>28</v>
      </c>
    </row>
    <row r="86" spans="1:13" x14ac:dyDescent="0.3">
      <c r="A86" t="s">
        <v>213</v>
      </c>
      <c r="B86" s="8">
        <v>45093</v>
      </c>
      <c r="C86" s="9">
        <v>0.75</v>
      </c>
      <c r="D86" t="s">
        <v>214</v>
      </c>
      <c r="E86" t="s">
        <v>46</v>
      </c>
      <c r="F86">
        <v>48</v>
      </c>
      <c r="G86" t="s">
        <v>192</v>
      </c>
      <c r="H86" t="s">
        <v>48</v>
      </c>
      <c r="I86" t="s">
        <v>14</v>
      </c>
      <c r="K86">
        <v>43</v>
      </c>
      <c r="L86" t="s">
        <v>22</v>
      </c>
      <c r="M86" t="s">
        <v>28</v>
      </c>
    </row>
    <row r="87" spans="1:13" x14ac:dyDescent="0.3">
      <c r="A87" t="s">
        <v>215</v>
      </c>
      <c r="B87" s="8">
        <v>45466</v>
      </c>
      <c r="C87" s="9">
        <v>0.26111111111111113</v>
      </c>
      <c r="D87" t="s">
        <v>216</v>
      </c>
      <c r="E87" t="s">
        <v>46</v>
      </c>
      <c r="F87">
        <v>18</v>
      </c>
      <c r="G87" t="s">
        <v>192</v>
      </c>
      <c r="H87" t="s">
        <v>48</v>
      </c>
      <c r="I87" t="s">
        <v>14</v>
      </c>
      <c r="K87">
        <v>58</v>
      </c>
      <c r="L87" t="s">
        <v>19</v>
      </c>
      <c r="M87" t="s">
        <v>28</v>
      </c>
    </row>
    <row r="88" spans="1:13" x14ac:dyDescent="0.3">
      <c r="A88" t="s">
        <v>217</v>
      </c>
      <c r="B88" s="8">
        <v>45473</v>
      </c>
      <c r="C88" s="9">
        <v>0.35486111111111113</v>
      </c>
      <c r="D88" t="s">
        <v>218</v>
      </c>
      <c r="E88" t="s">
        <v>46</v>
      </c>
      <c r="F88">
        <v>47</v>
      </c>
      <c r="G88" t="s">
        <v>192</v>
      </c>
      <c r="H88" t="s">
        <v>48</v>
      </c>
      <c r="I88" t="s">
        <v>14</v>
      </c>
      <c r="K88">
        <v>51</v>
      </c>
      <c r="L88" t="s">
        <v>22</v>
      </c>
      <c r="M88" t="s">
        <v>28</v>
      </c>
    </row>
    <row r="89" spans="1:13" x14ac:dyDescent="0.3">
      <c r="A89" t="s">
        <v>219</v>
      </c>
      <c r="B89" s="8">
        <v>45085</v>
      </c>
      <c r="C89" s="9">
        <v>0.43055555555555558</v>
      </c>
      <c r="D89" t="s">
        <v>220</v>
      </c>
      <c r="E89" t="s">
        <v>46</v>
      </c>
      <c r="F89">
        <v>61</v>
      </c>
      <c r="G89" t="s">
        <v>192</v>
      </c>
      <c r="H89" t="s">
        <v>48</v>
      </c>
      <c r="I89" t="s">
        <v>14</v>
      </c>
      <c r="K89">
        <v>55</v>
      </c>
      <c r="L89" t="s">
        <v>24</v>
      </c>
      <c r="M89" t="s">
        <v>28</v>
      </c>
    </row>
    <row r="90" spans="1:13" x14ac:dyDescent="0.3">
      <c r="A90" t="s">
        <v>221</v>
      </c>
      <c r="B90" s="8">
        <v>45465</v>
      </c>
      <c r="C90" s="9">
        <v>0.13819444444444445</v>
      </c>
      <c r="D90" t="s">
        <v>222</v>
      </c>
      <c r="E90" t="s">
        <v>91</v>
      </c>
      <c r="F90">
        <v>56</v>
      </c>
      <c r="G90" t="s">
        <v>192</v>
      </c>
      <c r="H90" t="s">
        <v>48</v>
      </c>
      <c r="I90" t="s">
        <v>14</v>
      </c>
      <c r="K90">
        <v>32</v>
      </c>
      <c r="L90" t="s">
        <v>23</v>
      </c>
      <c r="M90" t="s">
        <v>28</v>
      </c>
    </row>
    <row r="91" spans="1:13" x14ac:dyDescent="0.3">
      <c r="A91" t="s">
        <v>223</v>
      </c>
      <c r="B91" s="8">
        <v>45098</v>
      </c>
      <c r="C91" s="9">
        <v>0.12569444444444444</v>
      </c>
      <c r="D91" t="s">
        <v>224</v>
      </c>
      <c r="E91" t="s">
        <v>91</v>
      </c>
      <c r="F91">
        <v>68</v>
      </c>
      <c r="G91" t="s">
        <v>192</v>
      </c>
      <c r="H91" t="s">
        <v>48</v>
      </c>
      <c r="I91" t="s">
        <v>14</v>
      </c>
      <c r="K91">
        <v>47</v>
      </c>
      <c r="L91" t="s">
        <v>24</v>
      </c>
      <c r="M91" t="s">
        <v>28</v>
      </c>
    </row>
    <row r="92" spans="1:13" x14ac:dyDescent="0.3">
      <c r="A92" t="s">
        <v>225</v>
      </c>
      <c r="B92" s="8">
        <v>45467</v>
      </c>
      <c r="C92" s="9">
        <v>0.58194444444444449</v>
      </c>
      <c r="D92" t="s">
        <v>226</v>
      </c>
      <c r="E92" t="s">
        <v>91</v>
      </c>
      <c r="F92">
        <v>39</v>
      </c>
      <c r="G92" t="s">
        <v>192</v>
      </c>
      <c r="H92" t="s">
        <v>48</v>
      </c>
      <c r="I92" t="s">
        <v>14</v>
      </c>
      <c r="K92">
        <v>44</v>
      </c>
      <c r="L92" t="s">
        <v>21</v>
      </c>
      <c r="M92" t="s">
        <v>28</v>
      </c>
    </row>
    <row r="93" spans="1:13" x14ac:dyDescent="0.3">
      <c r="A93" t="s">
        <v>227</v>
      </c>
      <c r="B93" s="8">
        <v>45093</v>
      </c>
      <c r="C93" s="9">
        <v>0.88680555555555551</v>
      </c>
      <c r="D93" t="s">
        <v>228</v>
      </c>
      <c r="E93" t="s">
        <v>91</v>
      </c>
      <c r="F93">
        <v>60</v>
      </c>
      <c r="G93" t="s">
        <v>192</v>
      </c>
      <c r="H93" t="s">
        <v>48</v>
      </c>
      <c r="I93" t="s">
        <v>14</v>
      </c>
      <c r="K93">
        <v>40</v>
      </c>
      <c r="L93" t="s">
        <v>23</v>
      </c>
      <c r="M93" t="s">
        <v>28</v>
      </c>
    </row>
    <row r="94" spans="1:13" x14ac:dyDescent="0.3">
      <c r="A94" t="s">
        <v>229</v>
      </c>
      <c r="B94" s="8">
        <v>45089</v>
      </c>
      <c r="C94" s="9">
        <v>0.96111111111111114</v>
      </c>
      <c r="D94" t="s">
        <v>230</v>
      </c>
      <c r="E94" t="s">
        <v>91</v>
      </c>
      <c r="F94">
        <v>68</v>
      </c>
      <c r="G94" t="s">
        <v>192</v>
      </c>
      <c r="H94" t="s">
        <v>48</v>
      </c>
      <c r="I94" t="s">
        <v>14</v>
      </c>
      <c r="K94">
        <v>49</v>
      </c>
      <c r="L94" t="s">
        <v>24</v>
      </c>
      <c r="M94" t="s">
        <v>28</v>
      </c>
    </row>
    <row r="95" spans="1:13" x14ac:dyDescent="0.3">
      <c r="A95" t="s">
        <v>231</v>
      </c>
      <c r="B95" s="8">
        <v>45104</v>
      </c>
      <c r="C95" s="9">
        <v>0.37430555555555556</v>
      </c>
      <c r="D95" t="s">
        <v>232</v>
      </c>
      <c r="E95" t="s">
        <v>91</v>
      </c>
      <c r="F95">
        <v>79</v>
      </c>
      <c r="G95" t="s">
        <v>192</v>
      </c>
      <c r="H95" t="s">
        <v>48</v>
      </c>
      <c r="I95" t="s">
        <v>14</v>
      </c>
      <c r="K95">
        <v>37</v>
      </c>
      <c r="L95" t="s">
        <v>25</v>
      </c>
      <c r="M95" t="s">
        <v>28</v>
      </c>
    </row>
    <row r="96" spans="1:13" x14ac:dyDescent="0.3">
      <c r="A96" t="s">
        <v>233</v>
      </c>
      <c r="B96" s="8">
        <v>45473</v>
      </c>
      <c r="C96" s="9">
        <v>0.61111111111111116</v>
      </c>
      <c r="D96" t="s">
        <v>234</v>
      </c>
      <c r="E96" t="s">
        <v>91</v>
      </c>
      <c r="F96">
        <v>69</v>
      </c>
      <c r="G96" t="s">
        <v>192</v>
      </c>
      <c r="H96" t="s">
        <v>48</v>
      </c>
      <c r="I96" t="s">
        <v>14</v>
      </c>
      <c r="K96">
        <v>32</v>
      </c>
      <c r="L96" t="s">
        <v>24</v>
      </c>
      <c r="M96" t="s">
        <v>28</v>
      </c>
    </row>
    <row r="97" spans="1:13" x14ac:dyDescent="0.3">
      <c r="A97" t="s">
        <v>235</v>
      </c>
      <c r="B97" s="8">
        <v>45091</v>
      </c>
      <c r="C97" s="9">
        <v>0.22916666666666666</v>
      </c>
      <c r="D97" t="s">
        <v>236</v>
      </c>
      <c r="E97" t="s">
        <v>91</v>
      </c>
      <c r="F97">
        <v>76</v>
      </c>
      <c r="G97" t="s">
        <v>192</v>
      </c>
      <c r="H97" t="s">
        <v>48</v>
      </c>
      <c r="I97" t="s">
        <v>14</v>
      </c>
      <c r="K97">
        <v>60</v>
      </c>
      <c r="L97" t="s">
        <v>25</v>
      </c>
      <c r="M97" t="s">
        <v>28</v>
      </c>
    </row>
    <row r="98" spans="1:13" x14ac:dyDescent="0.3">
      <c r="A98" t="s">
        <v>237</v>
      </c>
      <c r="B98" s="8">
        <v>45094</v>
      </c>
      <c r="C98" s="9">
        <v>0.71319444444444446</v>
      </c>
      <c r="D98" t="s">
        <v>238</v>
      </c>
      <c r="E98" t="s">
        <v>91</v>
      </c>
      <c r="F98">
        <v>61</v>
      </c>
      <c r="G98" t="s">
        <v>192</v>
      </c>
      <c r="H98" t="s">
        <v>48</v>
      </c>
      <c r="I98" t="s">
        <v>14</v>
      </c>
      <c r="K98">
        <v>56</v>
      </c>
      <c r="L98" t="s">
        <v>24</v>
      </c>
      <c r="M98" t="s">
        <v>28</v>
      </c>
    </row>
    <row r="99" spans="1:13" x14ac:dyDescent="0.3">
      <c r="A99" t="s">
        <v>239</v>
      </c>
      <c r="B99" s="8">
        <v>45086</v>
      </c>
      <c r="C99" s="9">
        <v>0.85833333333333328</v>
      </c>
      <c r="D99" t="s">
        <v>240</v>
      </c>
      <c r="E99" t="s">
        <v>91</v>
      </c>
      <c r="F99">
        <v>78</v>
      </c>
      <c r="G99" t="s">
        <v>192</v>
      </c>
      <c r="H99" t="s">
        <v>48</v>
      </c>
      <c r="I99" t="s">
        <v>14</v>
      </c>
      <c r="K99">
        <v>35</v>
      </c>
      <c r="L99" t="s">
        <v>25</v>
      </c>
      <c r="M99" t="s">
        <v>28</v>
      </c>
    </row>
    <row r="100" spans="1:13" x14ac:dyDescent="0.3">
      <c r="A100" t="s">
        <v>241</v>
      </c>
      <c r="B100" s="8">
        <v>45446</v>
      </c>
      <c r="C100" s="9">
        <v>0.96319444444444446</v>
      </c>
      <c r="D100" t="s">
        <v>242</v>
      </c>
      <c r="E100" t="s">
        <v>91</v>
      </c>
      <c r="F100">
        <v>72</v>
      </c>
      <c r="G100" t="s">
        <v>192</v>
      </c>
      <c r="H100" t="s">
        <v>48</v>
      </c>
      <c r="I100" t="s">
        <v>14</v>
      </c>
      <c r="K100">
        <v>44</v>
      </c>
      <c r="L100" t="s">
        <v>25</v>
      </c>
      <c r="M100" t="s">
        <v>28</v>
      </c>
    </row>
    <row r="101" spans="1:13" x14ac:dyDescent="0.3">
      <c r="A101" t="s">
        <v>243</v>
      </c>
      <c r="B101" s="8">
        <v>45101</v>
      </c>
      <c r="C101" s="9">
        <v>0.70763888888888893</v>
      </c>
      <c r="D101" t="s">
        <v>244</v>
      </c>
      <c r="E101" t="s">
        <v>91</v>
      </c>
      <c r="F101">
        <v>9</v>
      </c>
      <c r="G101" t="s">
        <v>192</v>
      </c>
      <c r="H101" t="s">
        <v>48</v>
      </c>
      <c r="I101" t="s">
        <v>14</v>
      </c>
      <c r="K101">
        <v>47</v>
      </c>
      <c r="L101" t="s">
        <v>18</v>
      </c>
      <c r="M101" t="s">
        <v>28</v>
      </c>
    </row>
    <row r="102" spans="1:13" x14ac:dyDescent="0.3">
      <c r="A102" t="s">
        <v>245</v>
      </c>
      <c r="B102" s="8">
        <v>45081</v>
      </c>
      <c r="C102" s="9">
        <v>0.31944444444444442</v>
      </c>
      <c r="D102" t="s">
        <v>246</v>
      </c>
      <c r="E102" t="s">
        <v>91</v>
      </c>
      <c r="F102">
        <v>78</v>
      </c>
      <c r="G102" t="s">
        <v>192</v>
      </c>
      <c r="H102" t="s">
        <v>48</v>
      </c>
      <c r="I102" t="s">
        <v>14</v>
      </c>
      <c r="K102">
        <v>60</v>
      </c>
      <c r="L102" t="s">
        <v>25</v>
      </c>
      <c r="M102" t="s">
        <v>28</v>
      </c>
    </row>
    <row r="103" spans="1:13" x14ac:dyDescent="0.3">
      <c r="A103" t="s">
        <v>247</v>
      </c>
      <c r="B103" s="8">
        <v>45465</v>
      </c>
      <c r="C103" s="9">
        <v>0.22291666666666668</v>
      </c>
      <c r="D103" t="s">
        <v>248</v>
      </c>
      <c r="E103" t="s">
        <v>91</v>
      </c>
      <c r="F103">
        <v>16</v>
      </c>
      <c r="G103" t="s">
        <v>192</v>
      </c>
      <c r="H103" t="s">
        <v>48</v>
      </c>
      <c r="I103" t="s">
        <v>13</v>
      </c>
      <c r="K103">
        <v>41</v>
      </c>
      <c r="L103" t="s">
        <v>19</v>
      </c>
      <c r="M103" t="s">
        <v>28</v>
      </c>
    </row>
    <row r="104" spans="1:13" x14ac:dyDescent="0.3">
      <c r="A104" t="s">
        <v>249</v>
      </c>
      <c r="B104" s="8">
        <v>45452</v>
      </c>
      <c r="C104" s="9">
        <v>0.49375000000000002</v>
      </c>
      <c r="D104" t="s">
        <v>250</v>
      </c>
      <c r="E104" t="s">
        <v>91</v>
      </c>
      <c r="F104">
        <v>59</v>
      </c>
      <c r="G104" t="s">
        <v>192</v>
      </c>
      <c r="H104" t="s">
        <v>48</v>
      </c>
      <c r="I104" t="s">
        <v>13</v>
      </c>
      <c r="K104">
        <v>39</v>
      </c>
      <c r="L104" t="s">
        <v>23</v>
      </c>
      <c r="M104" t="s">
        <v>28</v>
      </c>
    </row>
    <row r="105" spans="1:13" x14ac:dyDescent="0.3">
      <c r="A105" t="s">
        <v>251</v>
      </c>
      <c r="B105" s="8">
        <v>45444</v>
      </c>
      <c r="C105" s="9">
        <v>0.15763888888888888</v>
      </c>
      <c r="D105" t="s">
        <v>252</v>
      </c>
      <c r="E105" t="s">
        <v>91</v>
      </c>
      <c r="F105">
        <v>22</v>
      </c>
      <c r="G105" t="s">
        <v>192</v>
      </c>
      <c r="H105" t="s">
        <v>48</v>
      </c>
      <c r="I105" t="s">
        <v>13</v>
      </c>
      <c r="K105">
        <v>41</v>
      </c>
      <c r="L105" t="s">
        <v>20</v>
      </c>
      <c r="M105" t="s">
        <v>28</v>
      </c>
    </row>
    <row r="106" spans="1:13" x14ac:dyDescent="0.3">
      <c r="A106" t="s">
        <v>253</v>
      </c>
      <c r="B106" s="8">
        <v>45466</v>
      </c>
      <c r="C106" s="9">
        <v>0.93402777777777779</v>
      </c>
      <c r="D106" t="s">
        <v>254</v>
      </c>
      <c r="E106" t="s">
        <v>91</v>
      </c>
      <c r="F106">
        <v>68</v>
      </c>
      <c r="G106" t="s">
        <v>192</v>
      </c>
      <c r="H106" t="s">
        <v>48</v>
      </c>
      <c r="I106" t="s">
        <v>13</v>
      </c>
      <c r="K106">
        <v>39</v>
      </c>
      <c r="L106" t="s">
        <v>24</v>
      </c>
      <c r="M106" t="s">
        <v>28</v>
      </c>
    </row>
    <row r="107" spans="1:13" x14ac:dyDescent="0.3">
      <c r="A107" t="s">
        <v>255</v>
      </c>
      <c r="B107" s="8">
        <v>45459</v>
      </c>
      <c r="C107" s="9">
        <v>0.49236111111111114</v>
      </c>
      <c r="D107" t="s">
        <v>256</v>
      </c>
      <c r="E107" t="s">
        <v>91</v>
      </c>
      <c r="F107">
        <v>9</v>
      </c>
      <c r="G107" t="s">
        <v>192</v>
      </c>
      <c r="H107" t="s">
        <v>48</v>
      </c>
      <c r="I107" t="s">
        <v>13</v>
      </c>
      <c r="K107">
        <v>52</v>
      </c>
      <c r="L107" t="s">
        <v>18</v>
      </c>
      <c r="M107" t="s">
        <v>28</v>
      </c>
    </row>
    <row r="108" spans="1:13" x14ac:dyDescent="0.3">
      <c r="A108" t="s">
        <v>257</v>
      </c>
      <c r="B108" s="8">
        <v>45462</v>
      </c>
      <c r="C108" s="9">
        <v>0.92777777777777781</v>
      </c>
      <c r="D108" t="s">
        <v>258</v>
      </c>
      <c r="E108" t="s">
        <v>91</v>
      </c>
      <c r="F108">
        <v>60</v>
      </c>
      <c r="G108" t="s">
        <v>192</v>
      </c>
      <c r="H108" t="s">
        <v>48</v>
      </c>
      <c r="I108" t="s">
        <v>13</v>
      </c>
      <c r="K108">
        <v>45</v>
      </c>
      <c r="L108" t="s">
        <v>23</v>
      </c>
      <c r="M108" t="s">
        <v>28</v>
      </c>
    </row>
    <row r="109" spans="1:13" x14ac:dyDescent="0.3">
      <c r="A109" t="s">
        <v>259</v>
      </c>
      <c r="B109" s="8">
        <v>45454</v>
      </c>
      <c r="C109" s="9">
        <v>0.47430555555555554</v>
      </c>
      <c r="D109" t="s">
        <v>260</v>
      </c>
      <c r="E109" t="s">
        <v>91</v>
      </c>
      <c r="F109">
        <v>36</v>
      </c>
      <c r="G109" t="s">
        <v>192</v>
      </c>
      <c r="H109" t="s">
        <v>48</v>
      </c>
      <c r="I109" t="s">
        <v>13</v>
      </c>
      <c r="K109">
        <v>44</v>
      </c>
      <c r="L109" t="s">
        <v>21</v>
      </c>
      <c r="M109" t="s">
        <v>28</v>
      </c>
    </row>
    <row r="110" spans="1:13" x14ac:dyDescent="0.3">
      <c r="A110" t="s">
        <v>261</v>
      </c>
      <c r="B110" s="8">
        <v>45095</v>
      </c>
      <c r="C110" s="9">
        <v>0.3215277777777778</v>
      </c>
      <c r="D110" t="s">
        <v>262</v>
      </c>
      <c r="E110" t="s">
        <v>91</v>
      </c>
      <c r="F110">
        <v>20</v>
      </c>
      <c r="G110" t="s">
        <v>192</v>
      </c>
      <c r="H110" t="s">
        <v>48</v>
      </c>
      <c r="I110" t="s">
        <v>13</v>
      </c>
      <c r="K110">
        <v>34</v>
      </c>
      <c r="L110" t="s">
        <v>19</v>
      </c>
      <c r="M110" t="s">
        <v>28</v>
      </c>
    </row>
    <row r="111" spans="1:13" x14ac:dyDescent="0.3">
      <c r="A111" t="s">
        <v>263</v>
      </c>
      <c r="B111" s="8">
        <v>45464</v>
      </c>
      <c r="C111" s="9">
        <v>0.63888888888888884</v>
      </c>
      <c r="D111" t="s">
        <v>264</v>
      </c>
      <c r="E111" t="s">
        <v>91</v>
      </c>
      <c r="F111">
        <v>27</v>
      </c>
      <c r="G111" t="s">
        <v>192</v>
      </c>
      <c r="H111" t="s">
        <v>48</v>
      </c>
      <c r="I111" t="s">
        <v>13</v>
      </c>
      <c r="K111">
        <v>59</v>
      </c>
      <c r="L111" t="s">
        <v>20</v>
      </c>
      <c r="M111" t="s">
        <v>28</v>
      </c>
    </row>
    <row r="112" spans="1:13" x14ac:dyDescent="0.3">
      <c r="A112" t="s">
        <v>265</v>
      </c>
      <c r="B112" s="8">
        <v>45451</v>
      </c>
      <c r="C112" s="9">
        <v>0.73263888888888884</v>
      </c>
      <c r="D112" t="s">
        <v>266</v>
      </c>
      <c r="E112" t="s">
        <v>91</v>
      </c>
      <c r="F112">
        <v>22</v>
      </c>
      <c r="G112" t="s">
        <v>192</v>
      </c>
      <c r="H112" t="s">
        <v>48</v>
      </c>
      <c r="I112" t="s">
        <v>13</v>
      </c>
      <c r="K112">
        <v>41</v>
      </c>
      <c r="L112" t="s">
        <v>20</v>
      </c>
      <c r="M112" t="s">
        <v>28</v>
      </c>
    </row>
    <row r="113" spans="1:13" x14ac:dyDescent="0.3">
      <c r="A113" t="s">
        <v>267</v>
      </c>
      <c r="B113" s="8">
        <v>45105</v>
      </c>
      <c r="C113" s="9">
        <v>0.49027777777777776</v>
      </c>
      <c r="D113" t="s">
        <v>268</v>
      </c>
      <c r="E113" t="s">
        <v>91</v>
      </c>
      <c r="F113">
        <v>43</v>
      </c>
      <c r="G113" t="s">
        <v>192</v>
      </c>
      <c r="H113" t="s">
        <v>48</v>
      </c>
      <c r="I113" t="s">
        <v>13</v>
      </c>
      <c r="K113">
        <v>58</v>
      </c>
      <c r="L113" t="s">
        <v>22</v>
      </c>
      <c r="M113" t="s">
        <v>28</v>
      </c>
    </row>
    <row r="114" spans="1:13" x14ac:dyDescent="0.3">
      <c r="A114" t="s">
        <v>269</v>
      </c>
      <c r="B114" s="8">
        <v>45093</v>
      </c>
      <c r="C114" s="9">
        <v>0.55625000000000002</v>
      </c>
      <c r="D114" t="s">
        <v>270</v>
      </c>
      <c r="E114" t="s">
        <v>91</v>
      </c>
      <c r="F114">
        <v>62</v>
      </c>
      <c r="G114" t="s">
        <v>192</v>
      </c>
      <c r="H114" t="s">
        <v>48</v>
      </c>
      <c r="I114" t="s">
        <v>13</v>
      </c>
      <c r="K114">
        <v>33</v>
      </c>
      <c r="L114" t="s">
        <v>24</v>
      </c>
      <c r="M114" t="s">
        <v>28</v>
      </c>
    </row>
    <row r="115" spans="1:13" x14ac:dyDescent="0.3">
      <c r="A115" t="s">
        <v>271</v>
      </c>
      <c r="B115" s="8">
        <v>45091</v>
      </c>
      <c r="C115" s="9">
        <v>0.72291666666666665</v>
      </c>
      <c r="D115" t="s">
        <v>272</v>
      </c>
      <c r="E115" t="s">
        <v>91</v>
      </c>
      <c r="F115">
        <v>61</v>
      </c>
      <c r="G115" t="s">
        <v>192</v>
      </c>
      <c r="H115" t="s">
        <v>48</v>
      </c>
      <c r="I115" t="s">
        <v>13</v>
      </c>
      <c r="K115">
        <v>35</v>
      </c>
      <c r="L115" t="s">
        <v>24</v>
      </c>
      <c r="M115" t="s">
        <v>28</v>
      </c>
    </row>
    <row r="116" spans="1:13" x14ac:dyDescent="0.3">
      <c r="A116" t="s">
        <v>273</v>
      </c>
      <c r="B116" s="8">
        <v>45079</v>
      </c>
      <c r="C116" s="9">
        <v>2.2916666666666665E-2</v>
      </c>
      <c r="D116" t="s">
        <v>274</v>
      </c>
      <c r="E116" t="s">
        <v>46</v>
      </c>
      <c r="F116">
        <v>71</v>
      </c>
      <c r="G116" t="s">
        <v>192</v>
      </c>
      <c r="H116" t="s">
        <v>48</v>
      </c>
      <c r="I116" t="s">
        <v>13</v>
      </c>
      <c r="K116">
        <v>44</v>
      </c>
      <c r="L116" t="s">
        <v>25</v>
      </c>
      <c r="M116" t="s">
        <v>28</v>
      </c>
    </row>
    <row r="117" spans="1:13" x14ac:dyDescent="0.3">
      <c r="A117" t="s">
        <v>275</v>
      </c>
      <c r="B117" s="8">
        <v>45090</v>
      </c>
      <c r="C117" s="9">
        <v>0.21527777777777779</v>
      </c>
      <c r="D117" t="s">
        <v>276</v>
      </c>
      <c r="E117" t="s">
        <v>46</v>
      </c>
      <c r="F117">
        <v>5</v>
      </c>
      <c r="G117" t="s">
        <v>192</v>
      </c>
      <c r="H117" t="s">
        <v>48</v>
      </c>
      <c r="I117" t="s">
        <v>13</v>
      </c>
      <c r="K117">
        <v>44</v>
      </c>
      <c r="L117" t="s">
        <v>18</v>
      </c>
      <c r="M117" t="s">
        <v>28</v>
      </c>
    </row>
    <row r="118" spans="1:13" x14ac:dyDescent="0.3">
      <c r="A118" t="s">
        <v>277</v>
      </c>
      <c r="B118" s="8">
        <v>45098</v>
      </c>
      <c r="C118" s="9">
        <v>0.40208333333333335</v>
      </c>
      <c r="D118" t="s">
        <v>278</v>
      </c>
      <c r="E118" t="s">
        <v>46</v>
      </c>
      <c r="F118">
        <v>54</v>
      </c>
      <c r="G118" t="s">
        <v>192</v>
      </c>
      <c r="H118" t="s">
        <v>48</v>
      </c>
      <c r="I118" t="s">
        <v>13</v>
      </c>
      <c r="K118">
        <v>57</v>
      </c>
      <c r="L118" t="s">
        <v>23</v>
      </c>
      <c r="M118" t="s">
        <v>28</v>
      </c>
    </row>
    <row r="119" spans="1:13" x14ac:dyDescent="0.3">
      <c r="A119" t="s">
        <v>279</v>
      </c>
      <c r="B119" s="8">
        <v>45458</v>
      </c>
      <c r="C119" s="9">
        <v>0.64722222222222225</v>
      </c>
      <c r="D119" t="s">
        <v>280</v>
      </c>
      <c r="E119" t="s">
        <v>46</v>
      </c>
      <c r="F119">
        <v>69</v>
      </c>
      <c r="G119" t="s">
        <v>192</v>
      </c>
      <c r="H119" t="s">
        <v>48</v>
      </c>
      <c r="I119" t="s">
        <v>13</v>
      </c>
      <c r="K119">
        <v>47</v>
      </c>
      <c r="L119" t="s">
        <v>24</v>
      </c>
      <c r="M119" t="s">
        <v>28</v>
      </c>
    </row>
    <row r="120" spans="1:13" x14ac:dyDescent="0.3">
      <c r="A120" t="s">
        <v>281</v>
      </c>
      <c r="B120" s="8">
        <v>45463</v>
      </c>
      <c r="C120" s="9">
        <v>0.91666666666666663</v>
      </c>
      <c r="D120" t="s">
        <v>282</v>
      </c>
      <c r="E120" t="s">
        <v>46</v>
      </c>
      <c r="F120">
        <v>2</v>
      </c>
      <c r="G120" t="s">
        <v>192</v>
      </c>
      <c r="H120" t="s">
        <v>48</v>
      </c>
      <c r="I120" t="s">
        <v>13</v>
      </c>
      <c r="K120">
        <v>50</v>
      </c>
      <c r="L120" t="s">
        <v>18</v>
      </c>
      <c r="M120" t="s">
        <v>28</v>
      </c>
    </row>
    <row r="121" spans="1:13" x14ac:dyDescent="0.3">
      <c r="A121" t="s">
        <v>283</v>
      </c>
      <c r="B121" s="8">
        <v>45459</v>
      </c>
      <c r="C121" s="9">
        <v>0.79513888888888884</v>
      </c>
      <c r="D121" t="s">
        <v>284</v>
      </c>
      <c r="E121" t="s">
        <v>46</v>
      </c>
      <c r="F121">
        <v>18</v>
      </c>
      <c r="G121" t="s">
        <v>192</v>
      </c>
      <c r="H121" t="s">
        <v>48</v>
      </c>
      <c r="I121" t="s">
        <v>13</v>
      </c>
      <c r="K121">
        <v>43</v>
      </c>
      <c r="L121" t="s">
        <v>19</v>
      </c>
      <c r="M121" t="s">
        <v>28</v>
      </c>
    </row>
    <row r="122" spans="1:13" x14ac:dyDescent="0.3">
      <c r="A122" t="s">
        <v>285</v>
      </c>
      <c r="B122" s="8">
        <v>45082</v>
      </c>
      <c r="C122" s="9">
        <v>0.56597222222222221</v>
      </c>
      <c r="D122" t="s">
        <v>286</v>
      </c>
      <c r="E122" t="s">
        <v>46</v>
      </c>
      <c r="F122">
        <v>9</v>
      </c>
      <c r="G122" t="s">
        <v>192</v>
      </c>
      <c r="H122" t="s">
        <v>48</v>
      </c>
      <c r="I122" t="s">
        <v>13</v>
      </c>
      <c r="K122">
        <v>49</v>
      </c>
      <c r="L122" t="s">
        <v>18</v>
      </c>
      <c r="M122" t="s">
        <v>28</v>
      </c>
    </row>
    <row r="123" spans="1:13" x14ac:dyDescent="0.3">
      <c r="A123" t="s">
        <v>287</v>
      </c>
      <c r="B123" s="8">
        <v>45447</v>
      </c>
      <c r="C123" s="9">
        <v>0.2</v>
      </c>
      <c r="D123" t="s">
        <v>288</v>
      </c>
      <c r="E123" t="s">
        <v>46</v>
      </c>
      <c r="F123">
        <v>72</v>
      </c>
      <c r="G123" t="s">
        <v>192</v>
      </c>
      <c r="H123" t="s">
        <v>48</v>
      </c>
      <c r="I123" t="s">
        <v>13</v>
      </c>
      <c r="K123">
        <v>44</v>
      </c>
      <c r="L123" t="s">
        <v>25</v>
      </c>
      <c r="M123" t="s">
        <v>28</v>
      </c>
    </row>
    <row r="124" spans="1:13" x14ac:dyDescent="0.3">
      <c r="A124" t="s">
        <v>289</v>
      </c>
      <c r="B124" s="8">
        <v>45450</v>
      </c>
      <c r="C124" s="9">
        <v>0.61875000000000002</v>
      </c>
      <c r="D124" t="s">
        <v>290</v>
      </c>
      <c r="E124" t="s">
        <v>46</v>
      </c>
      <c r="F124">
        <v>39</v>
      </c>
      <c r="G124" t="s">
        <v>192</v>
      </c>
      <c r="H124" t="s">
        <v>48</v>
      </c>
      <c r="I124" t="s">
        <v>13</v>
      </c>
      <c r="K124">
        <v>36</v>
      </c>
      <c r="L124" t="s">
        <v>21</v>
      </c>
      <c r="M124" t="s">
        <v>28</v>
      </c>
    </row>
    <row r="125" spans="1:13" x14ac:dyDescent="0.3">
      <c r="A125" t="s">
        <v>291</v>
      </c>
      <c r="B125" s="8">
        <v>45100</v>
      </c>
      <c r="C125" s="9">
        <v>0.79305555555555551</v>
      </c>
      <c r="D125" t="s">
        <v>292</v>
      </c>
      <c r="E125" t="s">
        <v>46</v>
      </c>
      <c r="F125">
        <v>45</v>
      </c>
      <c r="G125" t="s">
        <v>192</v>
      </c>
      <c r="H125" t="s">
        <v>48</v>
      </c>
      <c r="I125" t="s">
        <v>13</v>
      </c>
      <c r="K125">
        <v>46</v>
      </c>
      <c r="L125" t="s">
        <v>22</v>
      </c>
      <c r="M125" t="s">
        <v>28</v>
      </c>
    </row>
    <row r="126" spans="1:13" x14ac:dyDescent="0.3">
      <c r="A126" t="s">
        <v>293</v>
      </c>
      <c r="B126" s="8">
        <v>45466</v>
      </c>
      <c r="C126" s="9">
        <v>0.85902777777777772</v>
      </c>
      <c r="D126" t="s">
        <v>294</v>
      </c>
      <c r="E126" t="s">
        <v>46</v>
      </c>
      <c r="F126">
        <v>36</v>
      </c>
      <c r="G126" t="s">
        <v>192</v>
      </c>
      <c r="H126" t="s">
        <v>48</v>
      </c>
      <c r="I126" t="s">
        <v>13</v>
      </c>
      <c r="K126">
        <v>32</v>
      </c>
      <c r="L126" t="s">
        <v>21</v>
      </c>
      <c r="M126" t="s">
        <v>28</v>
      </c>
    </row>
    <row r="127" spans="1:13" x14ac:dyDescent="0.3">
      <c r="A127" t="s">
        <v>295</v>
      </c>
      <c r="B127" s="8">
        <v>45458</v>
      </c>
      <c r="C127" s="9">
        <v>0.15694444444444444</v>
      </c>
      <c r="D127" t="s">
        <v>296</v>
      </c>
      <c r="E127" t="s">
        <v>91</v>
      </c>
      <c r="F127">
        <v>71</v>
      </c>
      <c r="G127" t="s">
        <v>297</v>
      </c>
      <c r="H127" t="s">
        <v>48</v>
      </c>
      <c r="I127" t="s">
        <v>13</v>
      </c>
      <c r="K127">
        <v>51</v>
      </c>
      <c r="L127" t="s">
        <v>25</v>
      </c>
      <c r="M127" t="s">
        <v>28</v>
      </c>
    </row>
    <row r="128" spans="1:13" x14ac:dyDescent="0.3">
      <c r="A128" t="s">
        <v>298</v>
      </c>
      <c r="B128" s="8">
        <v>45459</v>
      </c>
      <c r="C128" s="9">
        <v>0.77638888888888891</v>
      </c>
      <c r="D128" t="s">
        <v>299</v>
      </c>
      <c r="E128" t="s">
        <v>91</v>
      </c>
      <c r="F128">
        <v>25</v>
      </c>
      <c r="G128" t="s">
        <v>297</v>
      </c>
      <c r="H128" t="s">
        <v>48</v>
      </c>
      <c r="I128" t="s">
        <v>13</v>
      </c>
      <c r="K128">
        <v>42</v>
      </c>
      <c r="L128" t="s">
        <v>20</v>
      </c>
      <c r="M128" t="s">
        <v>28</v>
      </c>
    </row>
    <row r="129" spans="1:13" x14ac:dyDescent="0.3">
      <c r="A129" t="s">
        <v>300</v>
      </c>
      <c r="B129" s="8">
        <v>45093</v>
      </c>
      <c r="C129" s="9">
        <v>0.38055555555555554</v>
      </c>
      <c r="D129" t="s">
        <v>301</v>
      </c>
      <c r="E129" t="s">
        <v>91</v>
      </c>
      <c r="F129">
        <v>32</v>
      </c>
      <c r="G129" t="s">
        <v>297</v>
      </c>
      <c r="H129" t="s">
        <v>48</v>
      </c>
      <c r="I129" t="s">
        <v>13</v>
      </c>
      <c r="K129">
        <v>51</v>
      </c>
      <c r="L129" t="s">
        <v>21</v>
      </c>
      <c r="M129" t="s">
        <v>28</v>
      </c>
    </row>
    <row r="130" spans="1:13" x14ac:dyDescent="0.3">
      <c r="A130" t="s">
        <v>302</v>
      </c>
      <c r="B130" s="8">
        <v>45446</v>
      </c>
      <c r="C130" s="9">
        <v>0.22013888888888888</v>
      </c>
      <c r="D130" t="s">
        <v>303</v>
      </c>
      <c r="E130" t="s">
        <v>91</v>
      </c>
      <c r="F130">
        <v>31</v>
      </c>
      <c r="G130" t="s">
        <v>297</v>
      </c>
      <c r="H130" t="s">
        <v>48</v>
      </c>
      <c r="I130" t="s">
        <v>13</v>
      </c>
      <c r="K130">
        <v>47</v>
      </c>
      <c r="L130" t="s">
        <v>21</v>
      </c>
      <c r="M130" t="s">
        <v>28</v>
      </c>
    </row>
    <row r="131" spans="1:13" x14ac:dyDescent="0.3">
      <c r="A131" t="s">
        <v>304</v>
      </c>
      <c r="B131" s="8">
        <v>45079</v>
      </c>
      <c r="C131" s="9">
        <v>7.8472222222222221E-2</v>
      </c>
      <c r="D131" t="s">
        <v>305</v>
      </c>
      <c r="E131" t="s">
        <v>91</v>
      </c>
      <c r="F131">
        <v>61</v>
      </c>
      <c r="G131" t="s">
        <v>297</v>
      </c>
      <c r="H131" t="s">
        <v>48</v>
      </c>
      <c r="I131" t="s">
        <v>13</v>
      </c>
      <c r="K131">
        <v>48</v>
      </c>
      <c r="L131" t="s">
        <v>24</v>
      </c>
      <c r="M131" t="s">
        <v>28</v>
      </c>
    </row>
    <row r="132" spans="1:13" x14ac:dyDescent="0.3">
      <c r="A132" t="s">
        <v>306</v>
      </c>
      <c r="B132" s="8">
        <v>45471</v>
      </c>
      <c r="C132" s="9">
        <v>0.53402777777777777</v>
      </c>
      <c r="D132" t="s">
        <v>307</v>
      </c>
      <c r="E132" t="s">
        <v>91</v>
      </c>
      <c r="F132">
        <v>36</v>
      </c>
      <c r="G132" t="s">
        <v>297</v>
      </c>
      <c r="H132" t="s">
        <v>48</v>
      </c>
      <c r="I132" t="s">
        <v>13</v>
      </c>
      <c r="K132">
        <v>34</v>
      </c>
      <c r="L132" t="s">
        <v>21</v>
      </c>
      <c r="M132" t="s">
        <v>28</v>
      </c>
    </row>
    <row r="133" spans="1:13" x14ac:dyDescent="0.3">
      <c r="A133" t="s">
        <v>308</v>
      </c>
      <c r="B133" s="8">
        <v>45095</v>
      </c>
      <c r="C133" s="9">
        <v>0.71736111111111112</v>
      </c>
      <c r="D133" t="s">
        <v>309</v>
      </c>
      <c r="E133" t="s">
        <v>91</v>
      </c>
      <c r="F133">
        <v>63</v>
      </c>
      <c r="G133" t="s">
        <v>297</v>
      </c>
      <c r="H133" t="s">
        <v>48</v>
      </c>
      <c r="I133" t="s">
        <v>13</v>
      </c>
      <c r="K133">
        <v>36</v>
      </c>
      <c r="L133" t="s">
        <v>24</v>
      </c>
      <c r="M133" t="s">
        <v>28</v>
      </c>
    </row>
    <row r="134" spans="1:13" x14ac:dyDescent="0.3">
      <c r="A134" t="s">
        <v>310</v>
      </c>
      <c r="B134" s="8">
        <v>45452</v>
      </c>
      <c r="C134" s="9">
        <v>1.8055555555555554E-2</v>
      </c>
      <c r="D134" t="s">
        <v>311</v>
      </c>
      <c r="E134" t="s">
        <v>91</v>
      </c>
      <c r="F134">
        <v>40</v>
      </c>
      <c r="G134" t="s">
        <v>297</v>
      </c>
      <c r="H134" t="s">
        <v>48</v>
      </c>
      <c r="I134" t="s">
        <v>14</v>
      </c>
      <c r="K134">
        <v>47</v>
      </c>
      <c r="L134" t="s">
        <v>21</v>
      </c>
      <c r="M134" t="s">
        <v>28</v>
      </c>
    </row>
    <row r="135" spans="1:13" x14ac:dyDescent="0.3">
      <c r="A135" t="s">
        <v>312</v>
      </c>
      <c r="B135" s="8">
        <v>45089</v>
      </c>
      <c r="C135" s="9">
        <v>0.57013888888888886</v>
      </c>
      <c r="D135" t="s">
        <v>313</v>
      </c>
      <c r="E135" t="s">
        <v>91</v>
      </c>
      <c r="F135">
        <v>41</v>
      </c>
      <c r="G135" t="s">
        <v>297</v>
      </c>
      <c r="H135" t="s">
        <v>48</v>
      </c>
      <c r="I135" t="s">
        <v>14</v>
      </c>
      <c r="K135">
        <v>39</v>
      </c>
      <c r="L135" t="s">
        <v>22</v>
      </c>
      <c r="M135" t="s">
        <v>28</v>
      </c>
    </row>
    <row r="136" spans="1:13" x14ac:dyDescent="0.3">
      <c r="A136" t="s">
        <v>314</v>
      </c>
      <c r="B136" s="8">
        <v>45469</v>
      </c>
      <c r="C136" s="9">
        <v>0.13125000000000001</v>
      </c>
      <c r="D136" t="s">
        <v>315</v>
      </c>
      <c r="E136" t="s">
        <v>91</v>
      </c>
      <c r="F136">
        <v>63</v>
      </c>
      <c r="G136" t="s">
        <v>297</v>
      </c>
      <c r="H136" t="s">
        <v>48</v>
      </c>
      <c r="I136" t="s">
        <v>14</v>
      </c>
      <c r="K136">
        <v>56</v>
      </c>
      <c r="L136" t="s">
        <v>24</v>
      </c>
      <c r="M136" t="s">
        <v>28</v>
      </c>
    </row>
    <row r="137" spans="1:13" x14ac:dyDescent="0.3">
      <c r="A137" t="s">
        <v>316</v>
      </c>
      <c r="B137" s="8">
        <v>45461</v>
      </c>
      <c r="C137" s="9">
        <v>0.71319444444444446</v>
      </c>
      <c r="D137" t="s">
        <v>317</v>
      </c>
      <c r="E137" t="s">
        <v>91</v>
      </c>
      <c r="F137">
        <v>59</v>
      </c>
      <c r="G137" t="s">
        <v>297</v>
      </c>
      <c r="H137" t="s">
        <v>48</v>
      </c>
      <c r="I137" t="s">
        <v>14</v>
      </c>
      <c r="K137">
        <v>31</v>
      </c>
      <c r="L137" t="s">
        <v>23</v>
      </c>
      <c r="M137" t="s">
        <v>28</v>
      </c>
    </row>
    <row r="138" spans="1:13" x14ac:dyDescent="0.3">
      <c r="A138" t="s">
        <v>318</v>
      </c>
      <c r="B138" s="8">
        <v>45460</v>
      </c>
      <c r="C138" s="9">
        <v>0.86388888888888893</v>
      </c>
      <c r="D138" t="s">
        <v>319</v>
      </c>
      <c r="E138" t="s">
        <v>91</v>
      </c>
      <c r="F138">
        <v>54</v>
      </c>
      <c r="G138" t="s">
        <v>297</v>
      </c>
      <c r="H138" t="s">
        <v>48</v>
      </c>
      <c r="I138" t="s">
        <v>14</v>
      </c>
      <c r="K138">
        <v>58</v>
      </c>
      <c r="L138" t="s">
        <v>23</v>
      </c>
      <c r="M138" t="s">
        <v>28</v>
      </c>
    </row>
    <row r="139" spans="1:13" x14ac:dyDescent="0.3">
      <c r="A139" t="s">
        <v>320</v>
      </c>
      <c r="B139" s="8">
        <v>45444</v>
      </c>
      <c r="C139" s="9">
        <v>0.60763888888888884</v>
      </c>
      <c r="D139" t="s">
        <v>321</v>
      </c>
      <c r="E139" t="s">
        <v>91</v>
      </c>
      <c r="F139">
        <v>19</v>
      </c>
      <c r="G139" t="s">
        <v>297</v>
      </c>
      <c r="H139" t="s">
        <v>48</v>
      </c>
      <c r="I139" t="s">
        <v>14</v>
      </c>
      <c r="K139">
        <v>47</v>
      </c>
      <c r="L139" t="s">
        <v>19</v>
      </c>
      <c r="M139" t="s">
        <v>28</v>
      </c>
    </row>
    <row r="140" spans="1:13" x14ac:dyDescent="0.3">
      <c r="A140" t="s">
        <v>322</v>
      </c>
      <c r="B140" s="8">
        <v>45088</v>
      </c>
      <c r="C140" s="9">
        <v>0.56805555555555554</v>
      </c>
      <c r="D140" t="s">
        <v>323</v>
      </c>
      <c r="E140" t="s">
        <v>91</v>
      </c>
      <c r="F140">
        <v>71</v>
      </c>
      <c r="G140" t="s">
        <v>297</v>
      </c>
      <c r="H140" t="s">
        <v>48</v>
      </c>
      <c r="I140" t="s">
        <v>14</v>
      </c>
      <c r="K140">
        <v>59</v>
      </c>
      <c r="L140" t="s">
        <v>25</v>
      </c>
      <c r="M140" t="s">
        <v>28</v>
      </c>
    </row>
    <row r="141" spans="1:13" x14ac:dyDescent="0.3">
      <c r="A141" t="s">
        <v>324</v>
      </c>
      <c r="B141" s="8">
        <v>45458</v>
      </c>
      <c r="C141" s="9">
        <v>0.9555555555555556</v>
      </c>
      <c r="D141" t="s">
        <v>325</v>
      </c>
      <c r="E141" t="s">
        <v>91</v>
      </c>
      <c r="F141">
        <v>38</v>
      </c>
      <c r="G141" t="s">
        <v>297</v>
      </c>
      <c r="H141" t="s">
        <v>48</v>
      </c>
      <c r="I141" t="s">
        <v>14</v>
      </c>
      <c r="K141">
        <v>37</v>
      </c>
      <c r="L141" t="s">
        <v>21</v>
      </c>
      <c r="M141" t="s">
        <v>28</v>
      </c>
    </row>
    <row r="142" spans="1:13" x14ac:dyDescent="0.3">
      <c r="A142" t="s">
        <v>326</v>
      </c>
      <c r="B142" s="8">
        <v>45107</v>
      </c>
      <c r="C142" s="9">
        <v>7.4999999999999997E-2</v>
      </c>
      <c r="D142" t="s">
        <v>327</v>
      </c>
      <c r="E142" t="s">
        <v>91</v>
      </c>
      <c r="F142">
        <v>69</v>
      </c>
      <c r="G142" t="s">
        <v>297</v>
      </c>
      <c r="H142" t="s">
        <v>48</v>
      </c>
      <c r="I142" t="s">
        <v>14</v>
      </c>
      <c r="K142">
        <v>50</v>
      </c>
      <c r="L142" t="s">
        <v>24</v>
      </c>
      <c r="M142" t="s">
        <v>28</v>
      </c>
    </row>
    <row r="143" spans="1:13" x14ac:dyDescent="0.3">
      <c r="A143" t="s">
        <v>328</v>
      </c>
      <c r="B143" s="8">
        <v>45469</v>
      </c>
      <c r="C143" s="9">
        <v>0.11944444444444445</v>
      </c>
      <c r="D143" t="s">
        <v>329</v>
      </c>
      <c r="E143" t="s">
        <v>91</v>
      </c>
      <c r="F143">
        <v>38</v>
      </c>
      <c r="G143" t="s">
        <v>297</v>
      </c>
      <c r="H143" t="s">
        <v>48</v>
      </c>
      <c r="I143" t="s">
        <v>14</v>
      </c>
      <c r="K143">
        <v>47</v>
      </c>
      <c r="L143" t="s">
        <v>21</v>
      </c>
      <c r="M143" t="s">
        <v>28</v>
      </c>
    </row>
    <row r="144" spans="1:13" x14ac:dyDescent="0.3">
      <c r="A144" t="s">
        <v>330</v>
      </c>
      <c r="B144" s="8">
        <v>45469</v>
      </c>
      <c r="C144" s="9">
        <v>0.76458333333333328</v>
      </c>
      <c r="D144" t="s">
        <v>331</v>
      </c>
      <c r="E144" t="s">
        <v>91</v>
      </c>
      <c r="F144">
        <v>23</v>
      </c>
      <c r="G144" t="s">
        <v>297</v>
      </c>
      <c r="H144" t="s">
        <v>48</v>
      </c>
      <c r="I144" t="s">
        <v>14</v>
      </c>
      <c r="K144">
        <v>49</v>
      </c>
      <c r="L144" t="s">
        <v>20</v>
      </c>
      <c r="M144" t="s">
        <v>28</v>
      </c>
    </row>
    <row r="145" spans="1:13" x14ac:dyDescent="0.3">
      <c r="A145" t="s">
        <v>332</v>
      </c>
      <c r="B145" s="8">
        <v>45462</v>
      </c>
      <c r="C145" s="9">
        <v>0.51180555555555551</v>
      </c>
      <c r="D145" t="s">
        <v>333</v>
      </c>
      <c r="E145" t="s">
        <v>46</v>
      </c>
      <c r="F145">
        <v>25</v>
      </c>
      <c r="G145" t="s">
        <v>297</v>
      </c>
      <c r="H145" t="s">
        <v>48</v>
      </c>
      <c r="I145" t="s">
        <v>13</v>
      </c>
      <c r="K145">
        <v>45</v>
      </c>
      <c r="L145" t="s">
        <v>20</v>
      </c>
      <c r="M145" t="s">
        <v>28</v>
      </c>
    </row>
    <row r="146" spans="1:13" x14ac:dyDescent="0.3">
      <c r="A146" t="s">
        <v>334</v>
      </c>
      <c r="B146" s="8">
        <v>45099</v>
      </c>
      <c r="C146" s="9">
        <v>2.9166666666666667E-2</v>
      </c>
      <c r="D146" t="s">
        <v>335</v>
      </c>
      <c r="E146" t="s">
        <v>46</v>
      </c>
      <c r="F146">
        <v>73</v>
      </c>
      <c r="G146" t="s">
        <v>297</v>
      </c>
      <c r="H146" t="s">
        <v>48</v>
      </c>
      <c r="I146" t="s">
        <v>13</v>
      </c>
      <c r="K146">
        <v>34</v>
      </c>
      <c r="L146" t="s">
        <v>25</v>
      </c>
      <c r="M146" t="s">
        <v>28</v>
      </c>
    </row>
    <row r="147" spans="1:13" x14ac:dyDescent="0.3">
      <c r="A147" t="s">
        <v>336</v>
      </c>
      <c r="B147" s="8">
        <v>45106</v>
      </c>
      <c r="C147" s="9">
        <v>0.53125</v>
      </c>
      <c r="D147" t="s">
        <v>337</v>
      </c>
      <c r="E147" t="s">
        <v>46</v>
      </c>
      <c r="F147">
        <v>34</v>
      </c>
      <c r="G147" t="s">
        <v>297</v>
      </c>
      <c r="H147" t="s">
        <v>48</v>
      </c>
      <c r="I147" t="s">
        <v>13</v>
      </c>
      <c r="K147">
        <v>33</v>
      </c>
      <c r="L147" t="s">
        <v>21</v>
      </c>
      <c r="M147" t="s">
        <v>28</v>
      </c>
    </row>
    <row r="148" spans="1:13" x14ac:dyDescent="0.3">
      <c r="A148" t="s">
        <v>338</v>
      </c>
      <c r="B148" s="8">
        <v>45100</v>
      </c>
      <c r="C148" s="9">
        <v>0.12916666666666668</v>
      </c>
      <c r="D148" t="s">
        <v>339</v>
      </c>
      <c r="E148" t="s">
        <v>46</v>
      </c>
      <c r="F148">
        <v>25</v>
      </c>
      <c r="G148" t="s">
        <v>297</v>
      </c>
      <c r="H148" t="s">
        <v>48</v>
      </c>
      <c r="I148" t="s">
        <v>13</v>
      </c>
      <c r="K148">
        <v>45</v>
      </c>
      <c r="L148" t="s">
        <v>20</v>
      </c>
      <c r="M148" t="s">
        <v>28</v>
      </c>
    </row>
    <row r="149" spans="1:13" x14ac:dyDescent="0.3">
      <c r="A149" t="s">
        <v>340</v>
      </c>
      <c r="B149" s="8">
        <v>45105</v>
      </c>
      <c r="C149" s="9">
        <v>0.62986111111111109</v>
      </c>
      <c r="D149" t="s">
        <v>341</v>
      </c>
      <c r="E149" t="s">
        <v>46</v>
      </c>
      <c r="F149">
        <v>41</v>
      </c>
      <c r="G149" t="s">
        <v>297</v>
      </c>
      <c r="H149" t="s">
        <v>48</v>
      </c>
      <c r="I149" t="s">
        <v>13</v>
      </c>
      <c r="K149">
        <v>31</v>
      </c>
      <c r="L149" t="s">
        <v>22</v>
      </c>
      <c r="M149" t="s">
        <v>28</v>
      </c>
    </row>
    <row r="150" spans="1:13" x14ac:dyDescent="0.3">
      <c r="A150" t="s">
        <v>342</v>
      </c>
      <c r="B150" s="8">
        <v>45085</v>
      </c>
      <c r="C150" s="9">
        <v>0.81041666666666667</v>
      </c>
      <c r="D150" t="s">
        <v>343</v>
      </c>
      <c r="E150" t="s">
        <v>46</v>
      </c>
      <c r="F150">
        <v>10</v>
      </c>
      <c r="G150" t="s">
        <v>297</v>
      </c>
      <c r="H150" t="s">
        <v>48</v>
      </c>
      <c r="I150" t="s">
        <v>13</v>
      </c>
      <c r="K150">
        <v>60</v>
      </c>
      <c r="L150" t="s">
        <v>18</v>
      </c>
      <c r="M150" t="s">
        <v>28</v>
      </c>
    </row>
    <row r="151" spans="1:13" x14ac:dyDescent="0.3">
      <c r="A151" t="s">
        <v>344</v>
      </c>
      <c r="B151" s="8">
        <v>45447</v>
      </c>
      <c r="C151" s="9">
        <v>0.28958333333333336</v>
      </c>
      <c r="D151" t="s">
        <v>345</v>
      </c>
      <c r="E151" t="s">
        <v>46</v>
      </c>
      <c r="F151">
        <v>52</v>
      </c>
      <c r="G151" t="s">
        <v>297</v>
      </c>
      <c r="H151" t="s">
        <v>48</v>
      </c>
      <c r="I151" t="s">
        <v>13</v>
      </c>
      <c r="K151">
        <v>60</v>
      </c>
      <c r="L151" t="s">
        <v>23</v>
      </c>
      <c r="M151" t="s">
        <v>28</v>
      </c>
    </row>
    <row r="152" spans="1:13" x14ac:dyDescent="0.3">
      <c r="A152" t="s">
        <v>346</v>
      </c>
      <c r="B152" s="8">
        <v>45464</v>
      </c>
      <c r="C152" s="9">
        <v>8.0555555555555561E-2</v>
      </c>
      <c r="D152" t="s">
        <v>347</v>
      </c>
      <c r="E152" t="s">
        <v>46</v>
      </c>
      <c r="F152">
        <v>39</v>
      </c>
      <c r="G152" t="s">
        <v>297</v>
      </c>
      <c r="H152" t="s">
        <v>48</v>
      </c>
      <c r="I152" t="s">
        <v>13</v>
      </c>
      <c r="K152">
        <v>53</v>
      </c>
      <c r="L152" t="s">
        <v>21</v>
      </c>
      <c r="M152" t="s">
        <v>28</v>
      </c>
    </row>
    <row r="153" spans="1:13" x14ac:dyDescent="0.3">
      <c r="A153" t="s">
        <v>348</v>
      </c>
      <c r="B153" s="8">
        <v>45094</v>
      </c>
      <c r="C153" s="9">
        <v>0.99444444444444446</v>
      </c>
      <c r="D153" t="s">
        <v>349</v>
      </c>
      <c r="E153" t="s">
        <v>46</v>
      </c>
      <c r="F153">
        <v>24</v>
      </c>
      <c r="G153" t="s">
        <v>297</v>
      </c>
      <c r="H153" t="s">
        <v>48</v>
      </c>
      <c r="I153" t="s">
        <v>13</v>
      </c>
      <c r="K153">
        <v>47</v>
      </c>
      <c r="L153" t="s">
        <v>20</v>
      </c>
      <c r="M153" t="s">
        <v>28</v>
      </c>
    </row>
    <row r="154" spans="1:13" x14ac:dyDescent="0.3">
      <c r="A154" t="s">
        <v>350</v>
      </c>
      <c r="B154" s="8">
        <v>45087</v>
      </c>
      <c r="C154" s="9">
        <v>0.94513888888888886</v>
      </c>
      <c r="D154" t="s">
        <v>351</v>
      </c>
      <c r="E154" t="s">
        <v>46</v>
      </c>
      <c r="F154">
        <v>4</v>
      </c>
      <c r="G154" t="s">
        <v>297</v>
      </c>
      <c r="H154" t="s">
        <v>48</v>
      </c>
      <c r="I154" t="s">
        <v>13</v>
      </c>
      <c r="K154">
        <v>49</v>
      </c>
      <c r="L154" t="s">
        <v>18</v>
      </c>
      <c r="M154" t="s">
        <v>28</v>
      </c>
    </row>
    <row r="155" spans="1:13" x14ac:dyDescent="0.3">
      <c r="A155" t="s">
        <v>352</v>
      </c>
      <c r="B155" s="8">
        <v>45103</v>
      </c>
      <c r="C155" s="9">
        <v>0.5</v>
      </c>
      <c r="D155" t="s">
        <v>353</v>
      </c>
      <c r="E155" t="s">
        <v>46</v>
      </c>
      <c r="F155">
        <v>32</v>
      </c>
      <c r="G155" t="s">
        <v>297</v>
      </c>
      <c r="H155" t="s">
        <v>48</v>
      </c>
      <c r="I155" t="s">
        <v>13</v>
      </c>
      <c r="K155">
        <v>34</v>
      </c>
      <c r="L155" t="s">
        <v>21</v>
      </c>
      <c r="M155" t="s">
        <v>28</v>
      </c>
    </row>
    <row r="156" spans="1:13" x14ac:dyDescent="0.3">
      <c r="A156" t="s">
        <v>354</v>
      </c>
      <c r="B156" s="8">
        <v>45473</v>
      </c>
      <c r="C156" s="9">
        <v>0.34583333333333333</v>
      </c>
      <c r="D156" t="s">
        <v>355</v>
      </c>
      <c r="E156" t="s">
        <v>46</v>
      </c>
      <c r="F156">
        <v>9</v>
      </c>
      <c r="G156" t="s">
        <v>297</v>
      </c>
      <c r="H156" t="s">
        <v>48</v>
      </c>
      <c r="I156" t="s">
        <v>13</v>
      </c>
      <c r="K156">
        <v>57</v>
      </c>
      <c r="L156" t="s">
        <v>18</v>
      </c>
      <c r="M156" t="s">
        <v>28</v>
      </c>
    </row>
    <row r="157" spans="1:13" x14ac:dyDescent="0.3">
      <c r="A157" t="s">
        <v>356</v>
      </c>
      <c r="B157" s="8">
        <v>45080</v>
      </c>
      <c r="C157" s="9">
        <v>0.62083333333333335</v>
      </c>
      <c r="D157" t="s">
        <v>357</v>
      </c>
      <c r="E157" t="s">
        <v>46</v>
      </c>
      <c r="F157">
        <v>17</v>
      </c>
      <c r="G157" t="s">
        <v>297</v>
      </c>
      <c r="H157" t="s">
        <v>48</v>
      </c>
      <c r="I157" t="s">
        <v>13</v>
      </c>
      <c r="K157">
        <v>40</v>
      </c>
      <c r="L157" t="s">
        <v>19</v>
      </c>
      <c r="M157" t="s">
        <v>28</v>
      </c>
    </row>
    <row r="158" spans="1:13" x14ac:dyDescent="0.3">
      <c r="A158" t="s">
        <v>358</v>
      </c>
      <c r="B158" s="8">
        <v>45106</v>
      </c>
      <c r="C158" s="9">
        <v>0.2298611111111111</v>
      </c>
      <c r="D158" t="s">
        <v>359</v>
      </c>
      <c r="E158" t="s">
        <v>46</v>
      </c>
      <c r="F158">
        <v>79</v>
      </c>
      <c r="G158" t="s">
        <v>297</v>
      </c>
      <c r="H158" t="s">
        <v>48</v>
      </c>
      <c r="I158" t="s">
        <v>14</v>
      </c>
      <c r="K158">
        <v>39</v>
      </c>
      <c r="L158" t="s">
        <v>25</v>
      </c>
      <c r="M158" t="s">
        <v>28</v>
      </c>
    </row>
    <row r="159" spans="1:13" x14ac:dyDescent="0.3">
      <c r="A159" t="s">
        <v>360</v>
      </c>
      <c r="B159" s="8">
        <v>45083</v>
      </c>
      <c r="C159" s="9">
        <v>0.1388888888888889</v>
      </c>
      <c r="D159" t="s">
        <v>361</v>
      </c>
      <c r="E159" t="s">
        <v>46</v>
      </c>
      <c r="F159">
        <v>53</v>
      </c>
      <c r="G159" t="s">
        <v>297</v>
      </c>
      <c r="H159" t="s">
        <v>48</v>
      </c>
      <c r="I159" t="s">
        <v>14</v>
      </c>
      <c r="K159">
        <v>45</v>
      </c>
      <c r="L159" t="s">
        <v>23</v>
      </c>
      <c r="M159" t="s">
        <v>28</v>
      </c>
    </row>
    <row r="160" spans="1:13" x14ac:dyDescent="0.3">
      <c r="A160" t="s">
        <v>362</v>
      </c>
      <c r="B160" s="8">
        <v>45078</v>
      </c>
      <c r="C160" s="9">
        <v>0.39861111111111114</v>
      </c>
      <c r="D160" t="s">
        <v>363</v>
      </c>
      <c r="E160" t="s">
        <v>46</v>
      </c>
      <c r="F160">
        <v>3</v>
      </c>
      <c r="G160" t="s">
        <v>297</v>
      </c>
      <c r="H160" t="s">
        <v>48</v>
      </c>
      <c r="I160" t="s">
        <v>14</v>
      </c>
      <c r="K160">
        <v>43</v>
      </c>
      <c r="L160" t="s">
        <v>18</v>
      </c>
      <c r="M160" t="s">
        <v>28</v>
      </c>
    </row>
    <row r="161" spans="1:13" x14ac:dyDescent="0.3">
      <c r="A161" t="s">
        <v>364</v>
      </c>
      <c r="B161" s="8">
        <v>45101</v>
      </c>
      <c r="C161" s="9">
        <v>8.5416666666666669E-2</v>
      </c>
      <c r="D161" t="s">
        <v>365</v>
      </c>
      <c r="E161" t="s">
        <v>46</v>
      </c>
      <c r="F161">
        <v>23</v>
      </c>
      <c r="G161" t="s">
        <v>297</v>
      </c>
      <c r="H161" t="s">
        <v>48</v>
      </c>
      <c r="I161" t="s">
        <v>14</v>
      </c>
      <c r="K161">
        <v>57</v>
      </c>
      <c r="L161" t="s">
        <v>20</v>
      </c>
      <c r="M161" t="s">
        <v>28</v>
      </c>
    </row>
    <row r="162" spans="1:13" x14ac:dyDescent="0.3">
      <c r="A162" t="s">
        <v>366</v>
      </c>
      <c r="B162" s="8">
        <v>45444</v>
      </c>
      <c r="C162" s="9">
        <v>0.32430555555555557</v>
      </c>
      <c r="D162" t="s">
        <v>367</v>
      </c>
      <c r="E162" t="s">
        <v>46</v>
      </c>
      <c r="F162">
        <v>9</v>
      </c>
      <c r="G162" t="s">
        <v>297</v>
      </c>
      <c r="H162" t="s">
        <v>48</v>
      </c>
      <c r="I162" t="s">
        <v>14</v>
      </c>
      <c r="K162">
        <v>54</v>
      </c>
      <c r="L162" t="s">
        <v>18</v>
      </c>
      <c r="M162" t="s">
        <v>28</v>
      </c>
    </row>
    <row r="163" spans="1:13" x14ac:dyDescent="0.3">
      <c r="A163" t="s">
        <v>368</v>
      </c>
      <c r="B163" s="8">
        <v>45457</v>
      </c>
      <c r="C163" s="9">
        <v>0.95</v>
      </c>
      <c r="D163" t="s">
        <v>369</v>
      </c>
      <c r="E163" t="s">
        <v>46</v>
      </c>
      <c r="F163">
        <v>23</v>
      </c>
      <c r="G163" t="s">
        <v>297</v>
      </c>
      <c r="H163" t="s">
        <v>48</v>
      </c>
      <c r="I163" t="s">
        <v>14</v>
      </c>
      <c r="K163">
        <v>52</v>
      </c>
      <c r="L163" t="s">
        <v>20</v>
      </c>
      <c r="M163" t="s">
        <v>28</v>
      </c>
    </row>
    <row r="164" spans="1:13" x14ac:dyDescent="0.3">
      <c r="A164" t="s">
        <v>370</v>
      </c>
      <c r="B164" s="8">
        <v>45466</v>
      </c>
      <c r="C164" s="9">
        <v>0.77847222222222223</v>
      </c>
      <c r="D164" t="s">
        <v>371</v>
      </c>
      <c r="E164" t="s">
        <v>46</v>
      </c>
      <c r="F164">
        <v>52</v>
      </c>
      <c r="G164" t="s">
        <v>297</v>
      </c>
      <c r="H164" t="s">
        <v>48</v>
      </c>
      <c r="I164" t="s">
        <v>14</v>
      </c>
      <c r="K164">
        <v>46</v>
      </c>
      <c r="L164" t="s">
        <v>23</v>
      </c>
      <c r="M164" t="s">
        <v>28</v>
      </c>
    </row>
    <row r="165" spans="1:13" x14ac:dyDescent="0.3">
      <c r="A165" t="s">
        <v>372</v>
      </c>
      <c r="B165" s="8">
        <v>45078</v>
      </c>
      <c r="C165" s="9">
        <v>0.8833333333333333</v>
      </c>
      <c r="D165" t="s">
        <v>373</v>
      </c>
      <c r="E165" t="s">
        <v>46</v>
      </c>
      <c r="F165">
        <v>18</v>
      </c>
      <c r="G165" t="s">
        <v>297</v>
      </c>
      <c r="H165" t="s">
        <v>48</v>
      </c>
      <c r="I165" t="s">
        <v>14</v>
      </c>
      <c r="K165">
        <v>39</v>
      </c>
      <c r="L165" t="s">
        <v>19</v>
      </c>
      <c r="M165" t="s">
        <v>28</v>
      </c>
    </row>
    <row r="166" spans="1:13" x14ac:dyDescent="0.3">
      <c r="A166" t="s">
        <v>374</v>
      </c>
      <c r="B166" s="8">
        <v>45454</v>
      </c>
      <c r="C166" s="9">
        <v>0.30902777777777779</v>
      </c>
      <c r="D166" t="s">
        <v>375</v>
      </c>
      <c r="E166" t="s">
        <v>46</v>
      </c>
      <c r="F166">
        <v>18</v>
      </c>
      <c r="G166" t="s">
        <v>376</v>
      </c>
      <c r="H166" t="s">
        <v>48</v>
      </c>
      <c r="I166" t="s">
        <v>13</v>
      </c>
      <c r="K166">
        <v>59</v>
      </c>
      <c r="L166" t="s">
        <v>19</v>
      </c>
      <c r="M166" t="s">
        <v>28</v>
      </c>
    </row>
    <row r="167" spans="1:13" x14ac:dyDescent="0.3">
      <c r="A167" t="s">
        <v>377</v>
      </c>
      <c r="B167" s="8">
        <v>45099</v>
      </c>
      <c r="C167" s="9">
        <v>0.3840277777777778</v>
      </c>
      <c r="D167" t="s">
        <v>378</v>
      </c>
      <c r="E167" t="s">
        <v>46</v>
      </c>
      <c r="F167">
        <v>41</v>
      </c>
      <c r="G167" t="s">
        <v>376</v>
      </c>
      <c r="H167" t="s">
        <v>48</v>
      </c>
      <c r="I167" t="s">
        <v>13</v>
      </c>
      <c r="K167">
        <v>58</v>
      </c>
      <c r="L167" t="s">
        <v>22</v>
      </c>
      <c r="M167" t="s">
        <v>28</v>
      </c>
    </row>
    <row r="168" spans="1:13" x14ac:dyDescent="0.3">
      <c r="A168" t="s">
        <v>379</v>
      </c>
      <c r="B168" s="8">
        <v>45472</v>
      </c>
      <c r="C168" s="9">
        <v>0.72013888888888888</v>
      </c>
      <c r="D168" t="s">
        <v>380</v>
      </c>
      <c r="E168" t="s">
        <v>46</v>
      </c>
      <c r="F168">
        <v>13</v>
      </c>
      <c r="G168" t="s">
        <v>376</v>
      </c>
      <c r="H168" t="s">
        <v>48</v>
      </c>
      <c r="I168" t="s">
        <v>13</v>
      </c>
      <c r="K168">
        <v>52</v>
      </c>
      <c r="L168" t="s">
        <v>19</v>
      </c>
      <c r="M168" t="s">
        <v>28</v>
      </c>
    </row>
    <row r="169" spans="1:13" x14ac:dyDescent="0.3">
      <c r="A169" t="s">
        <v>381</v>
      </c>
      <c r="B169" s="8">
        <v>45084</v>
      </c>
      <c r="C169" s="9">
        <v>0.80347222222222225</v>
      </c>
      <c r="D169" t="s">
        <v>382</v>
      </c>
      <c r="E169" t="s">
        <v>46</v>
      </c>
      <c r="F169">
        <v>31</v>
      </c>
      <c r="G169" t="s">
        <v>376</v>
      </c>
      <c r="H169" t="s">
        <v>48</v>
      </c>
      <c r="I169" t="s">
        <v>13</v>
      </c>
      <c r="K169">
        <v>37</v>
      </c>
      <c r="L169" t="s">
        <v>21</v>
      </c>
      <c r="M169" t="s">
        <v>28</v>
      </c>
    </row>
    <row r="170" spans="1:13" x14ac:dyDescent="0.3">
      <c r="A170" t="s">
        <v>383</v>
      </c>
      <c r="B170" s="8">
        <v>45104</v>
      </c>
      <c r="C170" s="9">
        <v>0.72291666666666665</v>
      </c>
      <c r="D170" t="s">
        <v>384</v>
      </c>
      <c r="E170" t="s">
        <v>46</v>
      </c>
      <c r="F170">
        <v>29</v>
      </c>
      <c r="G170" t="s">
        <v>376</v>
      </c>
      <c r="H170" t="s">
        <v>48</v>
      </c>
      <c r="I170" t="s">
        <v>13</v>
      </c>
      <c r="K170">
        <v>33</v>
      </c>
      <c r="L170" t="s">
        <v>20</v>
      </c>
      <c r="M170" t="s">
        <v>28</v>
      </c>
    </row>
    <row r="171" spans="1:13" x14ac:dyDescent="0.3">
      <c r="A171" t="s">
        <v>385</v>
      </c>
      <c r="B171" s="8">
        <v>45452</v>
      </c>
      <c r="C171" s="9">
        <v>2.9166666666666667E-2</v>
      </c>
      <c r="D171" t="s">
        <v>386</v>
      </c>
      <c r="E171" t="s">
        <v>46</v>
      </c>
      <c r="F171">
        <v>59</v>
      </c>
      <c r="G171" t="s">
        <v>376</v>
      </c>
      <c r="H171" t="s">
        <v>48</v>
      </c>
      <c r="I171" t="s">
        <v>13</v>
      </c>
      <c r="K171">
        <v>57</v>
      </c>
      <c r="L171" t="s">
        <v>23</v>
      </c>
      <c r="M171" t="s">
        <v>28</v>
      </c>
    </row>
    <row r="172" spans="1:13" x14ac:dyDescent="0.3">
      <c r="A172" t="s">
        <v>387</v>
      </c>
      <c r="B172" s="8">
        <v>45449</v>
      </c>
      <c r="C172" s="9">
        <v>0.59583333333333333</v>
      </c>
      <c r="D172" t="s">
        <v>388</v>
      </c>
      <c r="E172" t="s">
        <v>46</v>
      </c>
      <c r="F172">
        <v>67</v>
      </c>
      <c r="G172" t="s">
        <v>376</v>
      </c>
      <c r="H172" t="s">
        <v>48</v>
      </c>
      <c r="I172" t="s">
        <v>13</v>
      </c>
      <c r="K172">
        <v>45</v>
      </c>
      <c r="L172" t="s">
        <v>24</v>
      </c>
      <c r="M172" t="s">
        <v>28</v>
      </c>
    </row>
    <row r="173" spans="1:13" x14ac:dyDescent="0.3">
      <c r="A173" t="s">
        <v>389</v>
      </c>
      <c r="B173" s="8">
        <v>45092</v>
      </c>
      <c r="C173" s="9">
        <v>0.18472222222222223</v>
      </c>
      <c r="D173" t="s">
        <v>390</v>
      </c>
      <c r="E173" t="s">
        <v>46</v>
      </c>
      <c r="F173">
        <v>61</v>
      </c>
      <c r="G173" t="s">
        <v>376</v>
      </c>
      <c r="H173" t="s">
        <v>48</v>
      </c>
      <c r="I173" t="s">
        <v>13</v>
      </c>
      <c r="K173">
        <v>44</v>
      </c>
      <c r="L173" t="s">
        <v>24</v>
      </c>
      <c r="M173" t="s">
        <v>28</v>
      </c>
    </row>
    <row r="174" spans="1:13" x14ac:dyDescent="0.3">
      <c r="A174" t="s">
        <v>391</v>
      </c>
      <c r="B174" s="8">
        <v>45455</v>
      </c>
      <c r="C174" s="9">
        <v>6.6666666666666666E-2</v>
      </c>
      <c r="D174" t="s">
        <v>392</v>
      </c>
      <c r="E174" t="s">
        <v>46</v>
      </c>
      <c r="F174">
        <v>68</v>
      </c>
      <c r="G174" t="s">
        <v>376</v>
      </c>
      <c r="H174" t="s">
        <v>48</v>
      </c>
      <c r="I174" t="s">
        <v>13</v>
      </c>
      <c r="K174">
        <v>51</v>
      </c>
      <c r="L174" t="s">
        <v>24</v>
      </c>
      <c r="M174" t="s">
        <v>28</v>
      </c>
    </row>
    <row r="175" spans="1:13" x14ac:dyDescent="0.3">
      <c r="A175" t="s">
        <v>393</v>
      </c>
      <c r="B175" s="8">
        <v>45090</v>
      </c>
      <c r="C175" s="9">
        <v>0.48472222222222222</v>
      </c>
      <c r="D175" t="s">
        <v>394</v>
      </c>
      <c r="E175" t="s">
        <v>46</v>
      </c>
      <c r="F175">
        <v>52</v>
      </c>
      <c r="G175" t="s">
        <v>376</v>
      </c>
      <c r="H175" t="s">
        <v>48</v>
      </c>
      <c r="I175" t="s">
        <v>13</v>
      </c>
      <c r="K175">
        <v>33</v>
      </c>
      <c r="L175" t="s">
        <v>23</v>
      </c>
      <c r="M175" t="s">
        <v>28</v>
      </c>
    </row>
    <row r="176" spans="1:13" x14ac:dyDescent="0.3">
      <c r="A176" t="s">
        <v>395</v>
      </c>
      <c r="B176" s="8">
        <v>45450</v>
      </c>
      <c r="C176" s="9">
        <v>0.45902777777777776</v>
      </c>
      <c r="D176" t="s">
        <v>396</v>
      </c>
      <c r="E176" t="s">
        <v>46</v>
      </c>
      <c r="F176">
        <v>71</v>
      </c>
      <c r="G176" t="s">
        <v>376</v>
      </c>
      <c r="H176" t="s">
        <v>48</v>
      </c>
      <c r="I176" t="s">
        <v>13</v>
      </c>
      <c r="K176">
        <v>47</v>
      </c>
      <c r="L176" t="s">
        <v>25</v>
      </c>
      <c r="M176" t="s">
        <v>28</v>
      </c>
    </row>
    <row r="177" spans="1:13" x14ac:dyDescent="0.3">
      <c r="A177" t="s">
        <v>397</v>
      </c>
      <c r="B177" s="8">
        <v>45472</v>
      </c>
      <c r="C177" s="9">
        <v>0.79027777777777775</v>
      </c>
      <c r="D177" t="s">
        <v>398</v>
      </c>
      <c r="E177" t="s">
        <v>46</v>
      </c>
      <c r="F177">
        <v>27</v>
      </c>
      <c r="G177" t="s">
        <v>376</v>
      </c>
      <c r="H177" t="s">
        <v>48</v>
      </c>
      <c r="I177" t="s">
        <v>13</v>
      </c>
      <c r="K177">
        <v>39</v>
      </c>
      <c r="L177" t="s">
        <v>20</v>
      </c>
      <c r="M177" t="s">
        <v>28</v>
      </c>
    </row>
    <row r="178" spans="1:13" x14ac:dyDescent="0.3">
      <c r="A178" t="s">
        <v>399</v>
      </c>
      <c r="B178" s="8">
        <v>45102</v>
      </c>
      <c r="C178" s="9">
        <v>0.31388888888888888</v>
      </c>
      <c r="D178" t="s">
        <v>400</v>
      </c>
      <c r="E178" t="s">
        <v>46</v>
      </c>
      <c r="F178">
        <v>28</v>
      </c>
      <c r="G178" t="s">
        <v>376</v>
      </c>
      <c r="H178" t="s">
        <v>48</v>
      </c>
      <c r="I178" t="s">
        <v>13</v>
      </c>
      <c r="K178">
        <v>37</v>
      </c>
      <c r="L178" t="s">
        <v>20</v>
      </c>
      <c r="M178" t="s">
        <v>28</v>
      </c>
    </row>
    <row r="179" spans="1:13" x14ac:dyDescent="0.3">
      <c r="A179" t="s">
        <v>401</v>
      </c>
      <c r="B179" s="8">
        <v>45102</v>
      </c>
      <c r="C179" s="9">
        <v>0.33263888888888887</v>
      </c>
      <c r="D179" t="s">
        <v>402</v>
      </c>
      <c r="E179" t="s">
        <v>46</v>
      </c>
      <c r="F179">
        <v>41</v>
      </c>
      <c r="G179" t="s">
        <v>376</v>
      </c>
      <c r="H179" t="s">
        <v>48</v>
      </c>
      <c r="I179" t="s">
        <v>13</v>
      </c>
      <c r="K179">
        <v>39</v>
      </c>
      <c r="L179" t="s">
        <v>22</v>
      </c>
      <c r="M179" t="s">
        <v>28</v>
      </c>
    </row>
    <row r="180" spans="1:13" x14ac:dyDescent="0.3">
      <c r="A180" t="s">
        <v>403</v>
      </c>
      <c r="B180" s="8">
        <v>45461</v>
      </c>
      <c r="C180" s="9">
        <v>0.375</v>
      </c>
      <c r="D180" t="s">
        <v>404</v>
      </c>
      <c r="E180" t="s">
        <v>46</v>
      </c>
      <c r="F180">
        <v>50</v>
      </c>
      <c r="G180" t="s">
        <v>376</v>
      </c>
      <c r="H180" t="s">
        <v>48</v>
      </c>
      <c r="I180" t="s">
        <v>13</v>
      </c>
      <c r="K180">
        <v>43</v>
      </c>
      <c r="L180" t="s">
        <v>22</v>
      </c>
      <c r="M180" t="s">
        <v>28</v>
      </c>
    </row>
    <row r="181" spans="1:13" x14ac:dyDescent="0.3">
      <c r="A181" t="s">
        <v>405</v>
      </c>
      <c r="B181" s="8">
        <v>45102</v>
      </c>
      <c r="C181" s="9">
        <v>0.79097222222222219</v>
      </c>
      <c r="D181" t="s">
        <v>406</v>
      </c>
      <c r="E181" t="s">
        <v>46</v>
      </c>
      <c r="F181">
        <v>37</v>
      </c>
      <c r="G181" t="s">
        <v>376</v>
      </c>
      <c r="H181" t="s">
        <v>48</v>
      </c>
      <c r="I181" t="s">
        <v>14</v>
      </c>
      <c r="K181">
        <v>55</v>
      </c>
      <c r="L181" t="s">
        <v>21</v>
      </c>
      <c r="M181" t="s">
        <v>28</v>
      </c>
    </row>
    <row r="182" spans="1:13" x14ac:dyDescent="0.3">
      <c r="A182" t="s">
        <v>407</v>
      </c>
      <c r="B182" s="8">
        <v>45444</v>
      </c>
      <c r="C182" s="9">
        <v>0.44027777777777777</v>
      </c>
      <c r="D182" t="s">
        <v>408</v>
      </c>
      <c r="E182" t="s">
        <v>46</v>
      </c>
      <c r="F182">
        <v>48</v>
      </c>
      <c r="G182" t="s">
        <v>376</v>
      </c>
      <c r="H182" t="s">
        <v>48</v>
      </c>
      <c r="I182" t="s">
        <v>14</v>
      </c>
      <c r="K182">
        <v>35</v>
      </c>
      <c r="L182" t="s">
        <v>22</v>
      </c>
      <c r="M182" t="s">
        <v>28</v>
      </c>
    </row>
    <row r="183" spans="1:13" x14ac:dyDescent="0.3">
      <c r="A183" t="s">
        <v>409</v>
      </c>
      <c r="B183" s="8">
        <v>45092</v>
      </c>
      <c r="C183" s="9">
        <v>0.22500000000000001</v>
      </c>
      <c r="D183" t="s">
        <v>410</v>
      </c>
      <c r="E183" t="s">
        <v>46</v>
      </c>
      <c r="F183">
        <v>1</v>
      </c>
      <c r="G183" t="s">
        <v>376</v>
      </c>
      <c r="H183" t="s">
        <v>48</v>
      </c>
      <c r="I183" t="s">
        <v>14</v>
      </c>
      <c r="K183">
        <v>39</v>
      </c>
      <c r="L183" t="s">
        <v>18</v>
      </c>
      <c r="M183" t="s">
        <v>28</v>
      </c>
    </row>
    <row r="184" spans="1:13" x14ac:dyDescent="0.3">
      <c r="A184" t="s">
        <v>411</v>
      </c>
      <c r="B184" s="8">
        <v>45088</v>
      </c>
      <c r="C184" s="9">
        <v>0.25694444444444442</v>
      </c>
      <c r="D184" t="s">
        <v>412</v>
      </c>
      <c r="E184" t="s">
        <v>46</v>
      </c>
      <c r="F184">
        <v>37</v>
      </c>
      <c r="G184" t="s">
        <v>376</v>
      </c>
      <c r="H184" t="s">
        <v>48</v>
      </c>
      <c r="I184" t="s">
        <v>14</v>
      </c>
      <c r="K184">
        <v>36</v>
      </c>
      <c r="L184" t="s">
        <v>21</v>
      </c>
      <c r="M184" t="s">
        <v>28</v>
      </c>
    </row>
    <row r="185" spans="1:13" x14ac:dyDescent="0.3">
      <c r="A185" t="s">
        <v>413</v>
      </c>
      <c r="B185" s="8">
        <v>45086</v>
      </c>
      <c r="C185" s="9">
        <v>0.61527777777777781</v>
      </c>
      <c r="D185" t="s">
        <v>414</v>
      </c>
      <c r="E185" t="s">
        <v>46</v>
      </c>
      <c r="F185">
        <v>52</v>
      </c>
      <c r="G185" t="s">
        <v>376</v>
      </c>
      <c r="H185" t="s">
        <v>48</v>
      </c>
      <c r="I185" t="s">
        <v>14</v>
      </c>
      <c r="K185">
        <v>55</v>
      </c>
      <c r="L185" t="s">
        <v>23</v>
      </c>
      <c r="M185" t="s">
        <v>28</v>
      </c>
    </row>
    <row r="186" spans="1:13" x14ac:dyDescent="0.3">
      <c r="A186" t="s">
        <v>415</v>
      </c>
      <c r="B186" s="8">
        <v>45078</v>
      </c>
      <c r="C186" s="9">
        <v>0.42291666666666666</v>
      </c>
      <c r="D186" t="s">
        <v>416</v>
      </c>
      <c r="E186" t="s">
        <v>46</v>
      </c>
      <c r="F186">
        <v>8</v>
      </c>
      <c r="G186" t="s">
        <v>376</v>
      </c>
      <c r="H186" t="s">
        <v>48</v>
      </c>
      <c r="I186" t="s">
        <v>14</v>
      </c>
      <c r="K186">
        <v>54</v>
      </c>
      <c r="L186" t="s">
        <v>18</v>
      </c>
      <c r="M186" t="s">
        <v>28</v>
      </c>
    </row>
    <row r="187" spans="1:13" x14ac:dyDescent="0.3">
      <c r="A187" t="s">
        <v>417</v>
      </c>
      <c r="B187" s="8">
        <v>45078</v>
      </c>
      <c r="C187" s="9">
        <v>0.73333333333333328</v>
      </c>
      <c r="D187" t="s">
        <v>418</v>
      </c>
      <c r="E187" t="s">
        <v>46</v>
      </c>
      <c r="F187">
        <v>23</v>
      </c>
      <c r="G187" t="s">
        <v>376</v>
      </c>
      <c r="H187" t="s">
        <v>48</v>
      </c>
      <c r="I187" t="s">
        <v>14</v>
      </c>
      <c r="K187">
        <v>57</v>
      </c>
      <c r="L187" t="s">
        <v>20</v>
      </c>
      <c r="M187" t="s">
        <v>28</v>
      </c>
    </row>
    <row r="188" spans="1:13" x14ac:dyDescent="0.3">
      <c r="A188" t="s">
        <v>419</v>
      </c>
      <c r="B188" s="8">
        <v>45105</v>
      </c>
      <c r="C188" s="9">
        <v>0.34583333333333333</v>
      </c>
      <c r="D188" t="s">
        <v>420</v>
      </c>
      <c r="E188" t="s">
        <v>46</v>
      </c>
      <c r="F188">
        <v>68</v>
      </c>
      <c r="G188" t="s">
        <v>376</v>
      </c>
      <c r="H188" t="s">
        <v>48</v>
      </c>
      <c r="I188" t="s">
        <v>14</v>
      </c>
      <c r="K188">
        <v>51</v>
      </c>
      <c r="L188" t="s">
        <v>24</v>
      </c>
      <c r="M188" t="s">
        <v>28</v>
      </c>
    </row>
    <row r="189" spans="1:13" x14ac:dyDescent="0.3">
      <c r="A189" t="s">
        <v>421</v>
      </c>
      <c r="B189" s="8">
        <v>45102</v>
      </c>
      <c r="C189" s="9">
        <v>0.30416666666666664</v>
      </c>
      <c r="D189" t="s">
        <v>422</v>
      </c>
      <c r="E189" t="s">
        <v>46</v>
      </c>
      <c r="F189">
        <v>51</v>
      </c>
      <c r="G189" t="s">
        <v>376</v>
      </c>
      <c r="H189" t="s">
        <v>48</v>
      </c>
      <c r="I189" t="s">
        <v>14</v>
      </c>
      <c r="K189">
        <v>32</v>
      </c>
      <c r="L189" t="s">
        <v>23</v>
      </c>
      <c r="M189" t="s">
        <v>28</v>
      </c>
    </row>
    <row r="190" spans="1:13" x14ac:dyDescent="0.3">
      <c r="A190" t="s">
        <v>423</v>
      </c>
      <c r="B190" s="8">
        <v>45088</v>
      </c>
      <c r="C190" s="9">
        <v>0.34583333333333333</v>
      </c>
      <c r="D190" t="s">
        <v>424</v>
      </c>
      <c r="E190" t="s">
        <v>91</v>
      </c>
      <c r="F190">
        <v>43</v>
      </c>
      <c r="G190" t="s">
        <v>376</v>
      </c>
      <c r="H190" t="s">
        <v>48</v>
      </c>
      <c r="I190" t="s">
        <v>13</v>
      </c>
      <c r="K190">
        <v>38</v>
      </c>
      <c r="L190" t="s">
        <v>22</v>
      </c>
      <c r="M190" t="s">
        <v>28</v>
      </c>
    </row>
    <row r="191" spans="1:13" x14ac:dyDescent="0.3">
      <c r="A191" t="s">
        <v>425</v>
      </c>
      <c r="B191" s="8">
        <v>45099</v>
      </c>
      <c r="C191" s="9">
        <v>0.27708333333333335</v>
      </c>
      <c r="D191" t="s">
        <v>426</v>
      </c>
      <c r="E191" t="s">
        <v>91</v>
      </c>
      <c r="F191">
        <v>7</v>
      </c>
      <c r="G191" t="s">
        <v>376</v>
      </c>
      <c r="H191" t="s">
        <v>48</v>
      </c>
      <c r="I191" t="s">
        <v>13</v>
      </c>
      <c r="K191">
        <v>55</v>
      </c>
      <c r="L191" t="s">
        <v>18</v>
      </c>
      <c r="M191" t="s">
        <v>28</v>
      </c>
    </row>
    <row r="192" spans="1:13" x14ac:dyDescent="0.3">
      <c r="A192" t="s">
        <v>427</v>
      </c>
      <c r="B192" s="8">
        <v>45101</v>
      </c>
      <c r="C192" s="9">
        <v>0.60069444444444442</v>
      </c>
      <c r="D192" t="s">
        <v>428</v>
      </c>
      <c r="E192" t="s">
        <v>91</v>
      </c>
      <c r="F192">
        <v>61</v>
      </c>
      <c r="G192" t="s">
        <v>376</v>
      </c>
      <c r="H192" t="s">
        <v>48</v>
      </c>
      <c r="I192" t="s">
        <v>13</v>
      </c>
      <c r="K192">
        <v>34</v>
      </c>
      <c r="L192" t="s">
        <v>24</v>
      </c>
      <c r="M192" t="s">
        <v>28</v>
      </c>
    </row>
    <row r="193" spans="1:13" x14ac:dyDescent="0.3">
      <c r="A193" t="s">
        <v>429</v>
      </c>
      <c r="B193" s="8">
        <v>45455</v>
      </c>
      <c r="C193" s="9">
        <v>0.12569444444444444</v>
      </c>
      <c r="D193" t="s">
        <v>430</v>
      </c>
      <c r="E193" t="s">
        <v>91</v>
      </c>
      <c r="F193">
        <v>12</v>
      </c>
      <c r="G193" t="s">
        <v>376</v>
      </c>
      <c r="H193" t="s">
        <v>48</v>
      </c>
      <c r="I193" t="s">
        <v>13</v>
      </c>
      <c r="K193">
        <v>45</v>
      </c>
      <c r="L193" t="s">
        <v>19</v>
      </c>
      <c r="M193" t="s">
        <v>28</v>
      </c>
    </row>
    <row r="194" spans="1:13" x14ac:dyDescent="0.3">
      <c r="A194" t="s">
        <v>431</v>
      </c>
      <c r="B194" s="8">
        <v>45104</v>
      </c>
      <c r="C194" s="9">
        <v>0.54166666666666663</v>
      </c>
      <c r="D194" t="s">
        <v>432</v>
      </c>
      <c r="E194" t="s">
        <v>91</v>
      </c>
      <c r="F194">
        <v>15</v>
      </c>
      <c r="G194" t="s">
        <v>376</v>
      </c>
      <c r="H194" t="s">
        <v>48</v>
      </c>
      <c r="I194" t="s">
        <v>13</v>
      </c>
      <c r="K194">
        <v>50</v>
      </c>
      <c r="L194" t="s">
        <v>19</v>
      </c>
      <c r="M194" t="s">
        <v>28</v>
      </c>
    </row>
    <row r="195" spans="1:13" x14ac:dyDescent="0.3">
      <c r="A195" t="s">
        <v>433</v>
      </c>
      <c r="B195" s="8">
        <v>45458</v>
      </c>
      <c r="C195" s="9">
        <v>0.35833333333333334</v>
      </c>
      <c r="D195" t="s">
        <v>434</v>
      </c>
      <c r="E195" t="s">
        <v>91</v>
      </c>
      <c r="F195">
        <v>41</v>
      </c>
      <c r="G195" t="s">
        <v>376</v>
      </c>
      <c r="H195" t="s">
        <v>48</v>
      </c>
      <c r="I195" t="s">
        <v>13</v>
      </c>
      <c r="K195">
        <v>58</v>
      </c>
      <c r="L195" t="s">
        <v>22</v>
      </c>
      <c r="M195" t="s">
        <v>28</v>
      </c>
    </row>
    <row r="196" spans="1:13" x14ac:dyDescent="0.3">
      <c r="A196" t="s">
        <v>435</v>
      </c>
      <c r="B196" s="8">
        <v>45465</v>
      </c>
      <c r="C196" s="9">
        <v>0.14027777777777778</v>
      </c>
      <c r="D196" t="s">
        <v>436</v>
      </c>
      <c r="E196" t="s">
        <v>91</v>
      </c>
      <c r="F196">
        <v>71</v>
      </c>
      <c r="G196" t="s">
        <v>376</v>
      </c>
      <c r="H196" t="s">
        <v>48</v>
      </c>
      <c r="I196" t="s">
        <v>13</v>
      </c>
      <c r="K196">
        <v>46</v>
      </c>
      <c r="L196" t="s">
        <v>25</v>
      </c>
      <c r="M196" t="s">
        <v>28</v>
      </c>
    </row>
    <row r="197" spans="1:13" x14ac:dyDescent="0.3">
      <c r="A197" t="s">
        <v>437</v>
      </c>
      <c r="B197" s="8">
        <v>45080</v>
      </c>
      <c r="C197" s="9">
        <v>9.375E-2</v>
      </c>
      <c r="D197" t="s">
        <v>438</v>
      </c>
      <c r="E197" t="s">
        <v>91</v>
      </c>
      <c r="F197">
        <v>31</v>
      </c>
      <c r="G197" t="s">
        <v>376</v>
      </c>
      <c r="H197" t="s">
        <v>48</v>
      </c>
      <c r="I197" t="s">
        <v>14</v>
      </c>
      <c r="K197">
        <v>52</v>
      </c>
      <c r="L197" t="s">
        <v>21</v>
      </c>
      <c r="M197" t="s">
        <v>28</v>
      </c>
    </row>
    <row r="198" spans="1:13" x14ac:dyDescent="0.3">
      <c r="A198" t="s">
        <v>439</v>
      </c>
      <c r="B198" s="8">
        <v>45462</v>
      </c>
      <c r="C198" s="9">
        <v>0.6430555555555556</v>
      </c>
      <c r="D198" t="s">
        <v>440</v>
      </c>
      <c r="E198" t="s">
        <v>91</v>
      </c>
      <c r="F198">
        <v>52</v>
      </c>
      <c r="G198" t="s">
        <v>376</v>
      </c>
      <c r="H198" t="s">
        <v>48</v>
      </c>
      <c r="I198" t="s">
        <v>14</v>
      </c>
      <c r="K198">
        <v>55</v>
      </c>
      <c r="L198" t="s">
        <v>23</v>
      </c>
      <c r="M198" t="s">
        <v>28</v>
      </c>
    </row>
    <row r="199" spans="1:13" x14ac:dyDescent="0.3">
      <c r="A199" t="s">
        <v>441</v>
      </c>
      <c r="B199" s="8">
        <v>45103</v>
      </c>
      <c r="C199" s="9">
        <v>0.19097222222222221</v>
      </c>
      <c r="D199" t="s">
        <v>442</v>
      </c>
      <c r="E199" t="s">
        <v>91</v>
      </c>
      <c r="F199">
        <v>37</v>
      </c>
      <c r="G199" t="s">
        <v>376</v>
      </c>
      <c r="H199" t="s">
        <v>48</v>
      </c>
      <c r="I199" t="s">
        <v>14</v>
      </c>
      <c r="K199">
        <v>32</v>
      </c>
      <c r="L199" t="s">
        <v>21</v>
      </c>
      <c r="M199" t="s">
        <v>28</v>
      </c>
    </row>
    <row r="200" spans="1:13" x14ac:dyDescent="0.3">
      <c r="A200" t="s">
        <v>443</v>
      </c>
      <c r="B200" s="8">
        <v>45467</v>
      </c>
      <c r="C200" s="9">
        <v>0.71736111111111112</v>
      </c>
      <c r="D200" t="s">
        <v>444</v>
      </c>
      <c r="E200" t="s">
        <v>91</v>
      </c>
      <c r="F200">
        <v>62</v>
      </c>
      <c r="G200" t="s">
        <v>376</v>
      </c>
      <c r="H200" t="s">
        <v>48</v>
      </c>
      <c r="I200" t="s">
        <v>14</v>
      </c>
      <c r="K200">
        <v>48</v>
      </c>
      <c r="L200" t="s">
        <v>24</v>
      </c>
      <c r="M200" t="s">
        <v>28</v>
      </c>
    </row>
    <row r="201" spans="1:13" x14ac:dyDescent="0.3">
      <c r="A201" t="s">
        <v>445</v>
      </c>
      <c r="B201" s="8">
        <v>45101</v>
      </c>
      <c r="C201" s="9">
        <v>0.48680555555555555</v>
      </c>
      <c r="D201" t="s">
        <v>446</v>
      </c>
      <c r="E201" t="s">
        <v>91</v>
      </c>
      <c r="F201">
        <v>8</v>
      </c>
      <c r="G201" t="s">
        <v>376</v>
      </c>
      <c r="H201" t="s">
        <v>48</v>
      </c>
      <c r="I201" t="s">
        <v>14</v>
      </c>
      <c r="K201">
        <v>42</v>
      </c>
      <c r="L201" t="s">
        <v>18</v>
      </c>
      <c r="M201" t="s">
        <v>28</v>
      </c>
    </row>
    <row r="202" spans="1:13" x14ac:dyDescent="0.3">
      <c r="A202" t="s">
        <v>447</v>
      </c>
      <c r="B202" s="8">
        <v>45085</v>
      </c>
      <c r="C202" s="9">
        <v>0.6645833333333333</v>
      </c>
      <c r="D202" t="s">
        <v>448</v>
      </c>
      <c r="E202" t="s">
        <v>91</v>
      </c>
      <c r="F202">
        <v>35</v>
      </c>
      <c r="G202" t="s">
        <v>376</v>
      </c>
      <c r="H202" t="s">
        <v>48</v>
      </c>
      <c r="I202" t="s">
        <v>14</v>
      </c>
      <c r="K202">
        <v>53</v>
      </c>
      <c r="L202" t="s">
        <v>21</v>
      </c>
      <c r="M202" t="s">
        <v>28</v>
      </c>
    </row>
    <row r="203" spans="1:13" x14ac:dyDescent="0.3">
      <c r="A203" t="s">
        <v>449</v>
      </c>
      <c r="B203" s="8">
        <v>45446</v>
      </c>
      <c r="C203" s="9">
        <v>0.76666666666666672</v>
      </c>
      <c r="D203" t="s">
        <v>450</v>
      </c>
      <c r="E203" t="s">
        <v>91</v>
      </c>
      <c r="F203">
        <v>61</v>
      </c>
      <c r="G203" t="s">
        <v>451</v>
      </c>
      <c r="H203" t="s">
        <v>48</v>
      </c>
      <c r="I203" t="s">
        <v>13</v>
      </c>
      <c r="K203">
        <v>47</v>
      </c>
      <c r="L203" t="s">
        <v>24</v>
      </c>
      <c r="M203" t="s">
        <v>28</v>
      </c>
    </row>
    <row r="204" spans="1:13" x14ac:dyDescent="0.3">
      <c r="A204" t="s">
        <v>452</v>
      </c>
      <c r="B204" s="8">
        <v>45095</v>
      </c>
      <c r="C204" s="9">
        <v>0.47152777777777777</v>
      </c>
      <c r="D204" t="s">
        <v>453</v>
      </c>
      <c r="E204" t="s">
        <v>91</v>
      </c>
      <c r="F204">
        <v>15</v>
      </c>
      <c r="G204" t="s">
        <v>451</v>
      </c>
      <c r="H204" t="s">
        <v>48</v>
      </c>
      <c r="I204" t="s">
        <v>13</v>
      </c>
      <c r="K204">
        <v>55</v>
      </c>
      <c r="L204" t="s">
        <v>19</v>
      </c>
      <c r="M204" t="s">
        <v>28</v>
      </c>
    </row>
    <row r="205" spans="1:13" x14ac:dyDescent="0.3">
      <c r="A205" t="s">
        <v>454</v>
      </c>
      <c r="B205" s="8">
        <v>45099</v>
      </c>
      <c r="C205" s="9">
        <v>0.29722222222222222</v>
      </c>
      <c r="D205" t="s">
        <v>455</v>
      </c>
      <c r="E205" t="s">
        <v>91</v>
      </c>
      <c r="F205">
        <v>47</v>
      </c>
      <c r="G205" t="s">
        <v>451</v>
      </c>
      <c r="H205" t="s">
        <v>48</v>
      </c>
      <c r="I205" t="s">
        <v>13</v>
      </c>
      <c r="K205">
        <v>35</v>
      </c>
      <c r="L205" t="s">
        <v>22</v>
      </c>
      <c r="M205" t="s">
        <v>28</v>
      </c>
    </row>
    <row r="206" spans="1:13" x14ac:dyDescent="0.3">
      <c r="A206" t="s">
        <v>456</v>
      </c>
      <c r="B206" s="8">
        <v>45100</v>
      </c>
      <c r="C206" s="9">
        <v>0.4826388888888889</v>
      </c>
      <c r="D206" t="s">
        <v>457</v>
      </c>
      <c r="E206" t="s">
        <v>91</v>
      </c>
      <c r="F206">
        <v>16</v>
      </c>
      <c r="G206" t="s">
        <v>451</v>
      </c>
      <c r="H206" t="s">
        <v>48</v>
      </c>
      <c r="I206" t="s">
        <v>13</v>
      </c>
      <c r="K206">
        <v>59</v>
      </c>
      <c r="L206" t="s">
        <v>19</v>
      </c>
      <c r="M206" t="s">
        <v>28</v>
      </c>
    </row>
    <row r="207" spans="1:13" x14ac:dyDescent="0.3">
      <c r="A207" t="s">
        <v>458</v>
      </c>
      <c r="B207" s="8">
        <v>45096</v>
      </c>
      <c r="C207" s="9">
        <v>0.15833333333333333</v>
      </c>
      <c r="D207" t="s">
        <v>459</v>
      </c>
      <c r="E207" t="s">
        <v>91</v>
      </c>
      <c r="F207">
        <v>76</v>
      </c>
      <c r="G207" t="s">
        <v>451</v>
      </c>
      <c r="H207" t="s">
        <v>48</v>
      </c>
      <c r="I207" t="s">
        <v>13</v>
      </c>
      <c r="K207">
        <v>56</v>
      </c>
      <c r="L207" t="s">
        <v>25</v>
      </c>
      <c r="M207" t="s">
        <v>28</v>
      </c>
    </row>
    <row r="208" spans="1:13" x14ac:dyDescent="0.3">
      <c r="A208" t="s">
        <v>460</v>
      </c>
      <c r="B208" s="8">
        <v>45459</v>
      </c>
      <c r="C208" s="9">
        <v>0.70833333333333337</v>
      </c>
      <c r="D208" t="s">
        <v>461</v>
      </c>
      <c r="E208" t="s">
        <v>46</v>
      </c>
      <c r="F208">
        <v>60</v>
      </c>
      <c r="G208" t="s">
        <v>451</v>
      </c>
      <c r="H208" t="s">
        <v>48</v>
      </c>
      <c r="I208" t="s">
        <v>13</v>
      </c>
      <c r="K208">
        <v>41</v>
      </c>
      <c r="L208" t="s">
        <v>23</v>
      </c>
      <c r="M208" t="s">
        <v>28</v>
      </c>
    </row>
    <row r="209" spans="1:13" x14ac:dyDescent="0.3">
      <c r="A209" t="s">
        <v>462</v>
      </c>
      <c r="B209" s="8">
        <v>45097</v>
      </c>
      <c r="C209" s="9">
        <v>0.57152777777777775</v>
      </c>
      <c r="D209" t="s">
        <v>463</v>
      </c>
      <c r="E209" t="s">
        <v>46</v>
      </c>
      <c r="F209">
        <v>37</v>
      </c>
      <c r="G209" t="s">
        <v>451</v>
      </c>
      <c r="H209" t="s">
        <v>48</v>
      </c>
      <c r="I209" t="s">
        <v>13</v>
      </c>
      <c r="K209">
        <v>32</v>
      </c>
      <c r="L209" t="s">
        <v>21</v>
      </c>
      <c r="M209" t="s">
        <v>28</v>
      </c>
    </row>
    <row r="210" spans="1:13" x14ac:dyDescent="0.3">
      <c r="A210" t="s">
        <v>464</v>
      </c>
      <c r="B210" s="8">
        <v>45093</v>
      </c>
      <c r="C210" s="9">
        <v>0.78819444444444442</v>
      </c>
      <c r="D210" t="s">
        <v>465</v>
      </c>
      <c r="E210" t="s">
        <v>46</v>
      </c>
      <c r="F210">
        <v>64</v>
      </c>
      <c r="G210" t="s">
        <v>451</v>
      </c>
      <c r="H210" t="s">
        <v>48</v>
      </c>
      <c r="I210" t="s">
        <v>13</v>
      </c>
      <c r="K210">
        <v>50</v>
      </c>
      <c r="L210" t="s">
        <v>24</v>
      </c>
      <c r="M210" t="s">
        <v>28</v>
      </c>
    </row>
    <row r="211" spans="1:13" x14ac:dyDescent="0.3">
      <c r="A211" t="s">
        <v>466</v>
      </c>
      <c r="B211" s="8">
        <v>45085</v>
      </c>
      <c r="C211" s="9">
        <v>0.52361111111111114</v>
      </c>
      <c r="D211" t="s">
        <v>467</v>
      </c>
      <c r="E211" t="s">
        <v>46</v>
      </c>
      <c r="F211">
        <v>69</v>
      </c>
      <c r="G211" t="s">
        <v>451</v>
      </c>
      <c r="H211" t="s">
        <v>48</v>
      </c>
      <c r="I211" t="s">
        <v>13</v>
      </c>
      <c r="K211">
        <v>57</v>
      </c>
      <c r="L211" t="s">
        <v>24</v>
      </c>
      <c r="M211" t="s">
        <v>28</v>
      </c>
    </row>
    <row r="212" spans="1:13" x14ac:dyDescent="0.3">
      <c r="A212" t="s">
        <v>468</v>
      </c>
      <c r="B212" s="8">
        <v>45102</v>
      </c>
      <c r="C212" s="9">
        <v>0.2902777777777778</v>
      </c>
      <c r="D212" t="s">
        <v>469</v>
      </c>
      <c r="E212" t="s">
        <v>46</v>
      </c>
      <c r="F212">
        <v>28</v>
      </c>
      <c r="G212" t="s">
        <v>451</v>
      </c>
      <c r="H212" t="s">
        <v>48</v>
      </c>
      <c r="I212" t="s">
        <v>13</v>
      </c>
      <c r="K212">
        <v>49</v>
      </c>
      <c r="L212" t="s">
        <v>20</v>
      </c>
      <c r="M212" t="s">
        <v>28</v>
      </c>
    </row>
    <row r="213" spans="1:13" x14ac:dyDescent="0.3">
      <c r="A213" t="s">
        <v>470</v>
      </c>
      <c r="B213" s="8">
        <v>45451</v>
      </c>
      <c r="C213" s="9">
        <v>0.81388888888888888</v>
      </c>
      <c r="D213" t="s">
        <v>471</v>
      </c>
      <c r="E213" t="s">
        <v>46</v>
      </c>
      <c r="F213">
        <v>77</v>
      </c>
      <c r="G213" t="s">
        <v>451</v>
      </c>
      <c r="H213" t="s">
        <v>48</v>
      </c>
      <c r="I213" t="s">
        <v>13</v>
      </c>
      <c r="K213">
        <v>32</v>
      </c>
      <c r="L213" t="s">
        <v>25</v>
      </c>
      <c r="M213" t="s">
        <v>28</v>
      </c>
    </row>
    <row r="214" spans="1:13" x14ac:dyDescent="0.3">
      <c r="A214" t="s">
        <v>472</v>
      </c>
      <c r="B214" s="8">
        <v>45083</v>
      </c>
      <c r="C214" s="9">
        <v>3.3333333333333333E-2</v>
      </c>
      <c r="D214" t="s">
        <v>473</v>
      </c>
      <c r="E214" t="s">
        <v>46</v>
      </c>
      <c r="F214">
        <v>5</v>
      </c>
      <c r="G214" t="s">
        <v>451</v>
      </c>
      <c r="H214" t="s">
        <v>48</v>
      </c>
      <c r="I214" t="s">
        <v>13</v>
      </c>
      <c r="K214">
        <v>34</v>
      </c>
      <c r="L214" t="s">
        <v>18</v>
      </c>
      <c r="M214" t="s">
        <v>28</v>
      </c>
    </row>
    <row r="215" spans="1:13" x14ac:dyDescent="0.3">
      <c r="A215" t="s">
        <v>474</v>
      </c>
      <c r="B215" s="8">
        <v>45468</v>
      </c>
      <c r="C215" s="9">
        <v>0.43819444444444444</v>
      </c>
      <c r="D215" t="s">
        <v>475</v>
      </c>
      <c r="E215" t="s">
        <v>46</v>
      </c>
      <c r="F215">
        <v>10</v>
      </c>
      <c r="G215" t="s">
        <v>451</v>
      </c>
      <c r="H215" t="s">
        <v>48</v>
      </c>
      <c r="I215" t="s">
        <v>13</v>
      </c>
      <c r="K215">
        <v>33</v>
      </c>
      <c r="L215" t="s">
        <v>18</v>
      </c>
      <c r="M215" t="s">
        <v>28</v>
      </c>
    </row>
    <row r="216" spans="1:13" x14ac:dyDescent="0.3">
      <c r="A216" t="s">
        <v>476</v>
      </c>
      <c r="B216" s="8">
        <v>45079</v>
      </c>
      <c r="C216" s="9">
        <v>0.34444444444444444</v>
      </c>
      <c r="D216" t="s">
        <v>477</v>
      </c>
      <c r="E216" t="s">
        <v>46</v>
      </c>
      <c r="F216">
        <v>68</v>
      </c>
      <c r="G216" t="s">
        <v>451</v>
      </c>
      <c r="H216" t="s">
        <v>48</v>
      </c>
      <c r="I216" t="s">
        <v>13</v>
      </c>
      <c r="K216">
        <v>46</v>
      </c>
      <c r="L216" t="s">
        <v>24</v>
      </c>
      <c r="M216" t="s">
        <v>28</v>
      </c>
    </row>
    <row r="217" spans="1:13" x14ac:dyDescent="0.3">
      <c r="A217" t="s">
        <v>478</v>
      </c>
      <c r="B217" s="8">
        <v>45092</v>
      </c>
      <c r="C217" s="9">
        <v>0.53888888888888886</v>
      </c>
      <c r="D217" t="s">
        <v>479</v>
      </c>
      <c r="E217" t="s">
        <v>46</v>
      </c>
      <c r="F217">
        <v>4</v>
      </c>
      <c r="G217" t="s">
        <v>451</v>
      </c>
      <c r="H217" t="s">
        <v>48</v>
      </c>
      <c r="I217" t="s">
        <v>13</v>
      </c>
      <c r="K217">
        <v>33</v>
      </c>
      <c r="L217" t="s">
        <v>18</v>
      </c>
      <c r="M217" t="s">
        <v>28</v>
      </c>
    </row>
    <row r="218" spans="1:13" x14ac:dyDescent="0.3">
      <c r="A218" t="s">
        <v>480</v>
      </c>
      <c r="B218" s="8">
        <v>45087</v>
      </c>
      <c r="C218" s="9">
        <v>0.58194444444444449</v>
      </c>
      <c r="D218" t="s">
        <v>481</v>
      </c>
      <c r="E218" t="s">
        <v>46</v>
      </c>
      <c r="F218">
        <v>37</v>
      </c>
      <c r="G218" t="s">
        <v>451</v>
      </c>
      <c r="H218" t="s">
        <v>48</v>
      </c>
      <c r="I218" t="s">
        <v>13</v>
      </c>
      <c r="K218">
        <v>35</v>
      </c>
      <c r="L218" t="s">
        <v>21</v>
      </c>
      <c r="M218" t="s">
        <v>28</v>
      </c>
    </row>
    <row r="219" spans="1:13" x14ac:dyDescent="0.3">
      <c r="A219" t="s">
        <v>482</v>
      </c>
      <c r="B219" s="8">
        <v>45471</v>
      </c>
      <c r="C219" s="9">
        <v>0.96666666666666667</v>
      </c>
      <c r="D219" t="s">
        <v>483</v>
      </c>
      <c r="E219" t="s">
        <v>46</v>
      </c>
      <c r="F219">
        <v>19</v>
      </c>
      <c r="G219" t="s">
        <v>451</v>
      </c>
      <c r="H219" t="s">
        <v>48</v>
      </c>
      <c r="I219" t="s">
        <v>13</v>
      </c>
      <c r="K219">
        <v>49</v>
      </c>
      <c r="L219" t="s">
        <v>19</v>
      </c>
      <c r="M219" t="s">
        <v>28</v>
      </c>
    </row>
    <row r="220" spans="1:13" x14ac:dyDescent="0.3">
      <c r="A220" t="s">
        <v>484</v>
      </c>
      <c r="B220" s="8">
        <v>45466</v>
      </c>
      <c r="C220" s="9">
        <v>0.51944444444444449</v>
      </c>
      <c r="D220" t="s">
        <v>485</v>
      </c>
      <c r="E220" t="s">
        <v>91</v>
      </c>
      <c r="F220">
        <v>30</v>
      </c>
      <c r="G220" t="s">
        <v>451</v>
      </c>
      <c r="H220" t="s">
        <v>48</v>
      </c>
      <c r="I220" t="s">
        <v>14</v>
      </c>
      <c r="K220">
        <v>40</v>
      </c>
      <c r="L220" t="s">
        <v>20</v>
      </c>
      <c r="M220" t="s">
        <v>28</v>
      </c>
    </row>
    <row r="221" spans="1:13" x14ac:dyDescent="0.3">
      <c r="A221" t="s">
        <v>486</v>
      </c>
      <c r="B221" s="8">
        <v>45470</v>
      </c>
      <c r="C221" s="9">
        <v>0.9770833333333333</v>
      </c>
      <c r="D221" t="s">
        <v>487</v>
      </c>
      <c r="E221" t="s">
        <v>91</v>
      </c>
      <c r="F221">
        <v>8</v>
      </c>
      <c r="G221" t="s">
        <v>451</v>
      </c>
      <c r="H221" t="s">
        <v>48</v>
      </c>
      <c r="I221" t="s">
        <v>14</v>
      </c>
      <c r="K221">
        <v>54</v>
      </c>
      <c r="L221" t="s">
        <v>18</v>
      </c>
      <c r="M221" t="s">
        <v>28</v>
      </c>
    </row>
    <row r="222" spans="1:13" x14ac:dyDescent="0.3">
      <c r="A222" t="s">
        <v>488</v>
      </c>
      <c r="B222" s="8">
        <v>45450</v>
      </c>
      <c r="C222" s="9">
        <v>0.14374999999999999</v>
      </c>
      <c r="D222" t="s">
        <v>489</v>
      </c>
      <c r="E222" t="s">
        <v>91</v>
      </c>
      <c r="F222">
        <v>74</v>
      </c>
      <c r="G222" t="s">
        <v>451</v>
      </c>
      <c r="H222" t="s">
        <v>48</v>
      </c>
      <c r="I222" t="s">
        <v>14</v>
      </c>
      <c r="K222">
        <v>59</v>
      </c>
      <c r="L222" t="s">
        <v>25</v>
      </c>
      <c r="M222" t="s">
        <v>28</v>
      </c>
    </row>
    <row r="223" spans="1:13" x14ac:dyDescent="0.3">
      <c r="A223" t="s">
        <v>490</v>
      </c>
      <c r="B223" s="8">
        <v>45450</v>
      </c>
      <c r="C223" s="9">
        <v>0.9770833333333333</v>
      </c>
      <c r="D223" t="s">
        <v>491</v>
      </c>
      <c r="E223" t="s">
        <v>91</v>
      </c>
      <c r="F223">
        <v>39</v>
      </c>
      <c r="G223" t="s">
        <v>451</v>
      </c>
      <c r="H223" t="s">
        <v>48</v>
      </c>
      <c r="I223" t="s">
        <v>14</v>
      </c>
      <c r="K223">
        <v>46</v>
      </c>
      <c r="L223" t="s">
        <v>21</v>
      </c>
      <c r="M223" t="s">
        <v>28</v>
      </c>
    </row>
    <row r="224" spans="1:13" x14ac:dyDescent="0.3">
      <c r="A224" t="s">
        <v>492</v>
      </c>
      <c r="B224" s="8">
        <v>45454</v>
      </c>
      <c r="C224" s="9">
        <v>0.76111111111111107</v>
      </c>
      <c r="D224" t="s">
        <v>493</v>
      </c>
      <c r="E224" t="s">
        <v>91</v>
      </c>
      <c r="F224">
        <v>26</v>
      </c>
      <c r="G224" t="s">
        <v>451</v>
      </c>
      <c r="H224" t="s">
        <v>48</v>
      </c>
      <c r="I224" t="s">
        <v>14</v>
      </c>
      <c r="K224">
        <v>52</v>
      </c>
      <c r="L224" t="s">
        <v>20</v>
      </c>
      <c r="M224" t="s">
        <v>28</v>
      </c>
    </row>
    <row r="225" spans="1:13" x14ac:dyDescent="0.3">
      <c r="A225" t="s">
        <v>494</v>
      </c>
      <c r="B225" s="8">
        <v>45451</v>
      </c>
      <c r="C225" s="9">
        <v>0.23472222222222222</v>
      </c>
      <c r="D225" t="s">
        <v>495</v>
      </c>
      <c r="E225" t="s">
        <v>91</v>
      </c>
      <c r="F225">
        <v>15</v>
      </c>
      <c r="G225" t="s">
        <v>451</v>
      </c>
      <c r="H225" t="s">
        <v>48</v>
      </c>
      <c r="I225" t="s">
        <v>14</v>
      </c>
      <c r="K225">
        <v>32</v>
      </c>
      <c r="L225" t="s">
        <v>19</v>
      </c>
      <c r="M225" t="s">
        <v>28</v>
      </c>
    </row>
    <row r="226" spans="1:13" x14ac:dyDescent="0.3">
      <c r="A226" t="s">
        <v>496</v>
      </c>
      <c r="B226" s="8">
        <v>45444</v>
      </c>
      <c r="C226" s="9">
        <v>0.25694444444444442</v>
      </c>
      <c r="D226" t="s">
        <v>497</v>
      </c>
      <c r="E226" t="s">
        <v>91</v>
      </c>
      <c r="F226">
        <v>79</v>
      </c>
      <c r="G226" t="s">
        <v>451</v>
      </c>
      <c r="H226" t="s">
        <v>48</v>
      </c>
      <c r="I226" t="s">
        <v>14</v>
      </c>
      <c r="K226">
        <v>37</v>
      </c>
      <c r="L226" t="s">
        <v>25</v>
      </c>
      <c r="M226" t="s">
        <v>28</v>
      </c>
    </row>
    <row r="227" spans="1:13" x14ac:dyDescent="0.3">
      <c r="A227" t="s">
        <v>498</v>
      </c>
      <c r="B227" s="8">
        <v>45099</v>
      </c>
      <c r="C227" s="9">
        <v>0.36319444444444443</v>
      </c>
      <c r="D227" t="s">
        <v>499</v>
      </c>
      <c r="E227" t="s">
        <v>46</v>
      </c>
      <c r="F227">
        <v>37</v>
      </c>
      <c r="G227" t="s">
        <v>451</v>
      </c>
      <c r="H227" t="s">
        <v>48</v>
      </c>
      <c r="I227" t="s">
        <v>14</v>
      </c>
      <c r="K227">
        <v>50</v>
      </c>
      <c r="L227" t="s">
        <v>21</v>
      </c>
      <c r="M227" t="s">
        <v>28</v>
      </c>
    </row>
    <row r="228" spans="1:13" x14ac:dyDescent="0.3">
      <c r="A228" t="s">
        <v>500</v>
      </c>
      <c r="B228" s="8">
        <v>45098</v>
      </c>
      <c r="C228" s="9">
        <v>0.67500000000000004</v>
      </c>
      <c r="D228" t="s">
        <v>501</v>
      </c>
      <c r="E228" t="s">
        <v>46</v>
      </c>
      <c r="F228">
        <v>29</v>
      </c>
      <c r="G228" t="s">
        <v>451</v>
      </c>
      <c r="H228" t="s">
        <v>48</v>
      </c>
      <c r="I228" t="s">
        <v>14</v>
      </c>
      <c r="K228">
        <v>33</v>
      </c>
      <c r="L228" t="s">
        <v>20</v>
      </c>
      <c r="M228" t="s">
        <v>28</v>
      </c>
    </row>
    <row r="229" spans="1:13" x14ac:dyDescent="0.3">
      <c r="A229" t="s">
        <v>502</v>
      </c>
      <c r="B229" s="8">
        <v>45452</v>
      </c>
      <c r="C229" s="9">
        <v>0.29236111111111113</v>
      </c>
      <c r="D229" t="s">
        <v>503</v>
      </c>
      <c r="E229" t="s">
        <v>46</v>
      </c>
      <c r="F229">
        <v>20</v>
      </c>
      <c r="G229" t="s">
        <v>451</v>
      </c>
      <c r="H229" t="s">
        <v>48</v>
      </c>
      <c r="I229" t="s">
        <v>14</v>
      </c>
      <c r="K229">
        <v>36</v>
      </c>
      <c r="L229" t="s">
        <v>19</v>
      </c>
      <c r="M229" t="s">
        <v>28</v>
      </c>
    </row>
    <row r="230" spans="1:13" x14ac:dyDescent="0.3">
      <c r="A230" t="s">
        <v>504</v>
      </c>
      <c r="B230" s="8">
        <v>45446</v>
      </c>
      <c r="C230" s="9">
        <v>0.86875000000000002</v>
      </c>
      <c r="D230" t="s">
        <v>505</v>
      </c>
      <c r="E230" t="s">
        <v>46</v>
      </c>
      <c r="F230">
        <v>20</v>
      </c>
      <c r="G230" t="s">
        <v>451</v>
      </c>
      <c r="H230" t="s">
        <v>48</v>
      </c>
      <c r="I230" t="s">
        <v>14</v>
      </c>
      <c r="K230">
        <v>42</v>
      </c>
      <c r="L230" t="s">
        <v>19</v>
      </c>
      <c r="M230" t="s">
        <v>28</v>
      </c>
    </row>
    <row r="231" spans="1:13" x14ac:dyDescent="0.3">
      <c r="A231" t="s">
        <v>506</v>
      </c>
      <c r="B231" s="8">
        <v>45467</v>
      </c>
      <c r="C231" s="9">
        <v>1.3888888888888888E-2</v>
      </c>
      <c r="D231" t="s">
        <v>507</v>
      </c>
      <c r="E231" t="s">
        <v>46</v>
      </c>
      <c r="F231">
        <v>47</v>
      </c>
      <c r="G231" t="s">
        <v>451</v>
      </c>
      <c r="H231" t="s">
        <v>48</v>
      </c>
      <c r="I231" t="s">
        <v>14</v>
      </c>
      <c r="K231">
        <v>47</v>
      </c>
      <c r="L231" t="s">
        <v>22</v>
      </c>
      <c r="M231" t="s">
        <v>28</v>
      </c>
    </row>
    <row r="232" spans="1:13" x14ac:dyDescent="0.3">
      <c r="A232" t="s">
        <v>508</v>
      </c>
      <c r="B232" s="8">
        <v>45458</v>
      </c>
      <c r="C232" s="9">
        <v>2.7777777777777776E-2</v>
      </c>
      <c r="D232" t="s">
        <v>509</v>
      </c>
      <c r="E232" t="s">
        <v>46</v>
      </c>
      <c r="F232">
        <v>63</v>
      </c>
      <c r="G232" t="s">
        <v>451</v>
      </c>
      <c r="H232" t="s">
        <v>48</v>
      </c>
      <c r="I232" t="s">
        <v>14</v>
      </c>
      <c r="K232">
        <v>49</v>
      </c>
      <c r="L232" t="s">
        <v>24</v>
      </c>
      <c r="M232" t="s">
        <v>28</v>
      </c>
    </row>
    <row r="233" spans="1:13" x14ac:dyDescent="0.3">
      <c r="A233" t="s">
        <v>510</v>
      </c>
      <c r="B233" s="8">
        <v>45466</v>
      </c>
      <c r="C233" s="9">
        <v>1.1805555555555555E-2</v>
      </c>
      <c r="D233" t="s">
        <v>511</v>
      </c>
      <c r="E233" t="s">
        <v>46</v>
      </c>
      <c r="F233">
        <v>36</v>
      </c>
      <c r="G233" t="s">
        <v>451</v>
      </c>
      <c r="H233" t="s">
        <v>48</v>
      </c>
      <c r="I233" t="s">
        <v>14</v>
      </c>
      <c r="K233">
        <v>48</v>
      </c>
      <c r="L233" t="s">
        <v>21</v>
      </c>
      <c r="M233" t="s">
        <v>28</v>
      </c>
    </row>
    <row r="234" spans="1:13" x14ac:dyDescent="0.3">
      <c r="A234" t="s">
        <v>512</v>
      </c>
      <c r="B234" s="8">
        <v>45451</v>
      </c>
      <c r="C234" s="9">
        <v>0.81041666666666667</v>
      </c>
      <c r="D234" t="s">
        <v>513</v>
      </c>
      <c r="E234" t="s">
        <v>46</v>
      </c>
      <c r="F234">
        <v>68</v>
      </c>
      <c r="G234" t="s">
        <v>451</v>
      </c>
      <c r="H234" t="s">
        <v>48</v>
      </c>
      <c r="I234" t="s">
        <v>14</v>
      </c>
      <c r="K234">
        <v>56</v>
      </c>
      <c r="L234" t="s">
        <v>24</v>
      </c>
      <c r="M234" t="s">
        <v>28</v>
      </c>
    </row>
    <row r="235" spans="1:13" x14ac:dyDescent="0.3">
      <c r="A235" t="s">
        <v>514</v>
      </c>
      <c r="B235" s="8">
        <v>45450</v>
      </c>
      <c r="C235" s="9">
        <v>0.6118055555555556</v>
      </c>
      <c r="D235" t="s">
        <v>515</v>
      </c>
      <c r="E235" t="s">
        <v>46</v>
      </c>
      <c r="F235">
        <v>12</v>
      </c>
      <c r="G235" t="s">
        <v>451</v>
      </c>
      <c r="H235" t="s">
        <v>48</v>
      </c>
      <c r="I235" t="s">
        <v>14</v>
      </c>
      <c r="K235">
        <v>37</v>
      </c>
      <c r="L235" t="s">
        <v>19</v>
      </c>
      <c r="M235" t="s">
        <v>28</v>
      </c>
    </row>
    <row r="236" spans="1:13" x14ac:dyDescent="0.3">
      <c r="A236" t="s">
        <v>516</v>
      </c>
      <c r="B236" s="8">
        <v>45466</v>
      </c>
      <c r="C236" s="9">
        <v>2.1527777777777778E-2</v>
      </c>
      <c r="D236" t="s">
        <v>517</v>
      </c>
      <c r="E236" t="s">
        <v>46</v>
      </c>
      <c r="F236">
        <v>51</v>
      </c>
      <c r="G236" t="s">
        <v>451</v>
      </c>
      <c r="H236" t="s">
        <v>48</v>
      </c>
      <c r="I236" t="s">
        <v>14</v>
      </c>
      <c r="K236">
        <v>54</v>
      </c>
      <c r="L236" t="s">
        <v>23</v>
      </c>
      <c r="M236" t="s">
        <v>28</v>
      </c>
    </row>
    <row r="237" spans="1:13" x14ac:dyDescent="0.3">
      <c r="A237" t="s">
        <v>518</v>
      </c>
      <c r="B237" s="8">
        <v>45107</v>
      </c>
      <c r="C237" s="9">
        <v>0.7631944444444444</v>
      </c>
      <c r="D237" t="s">
        <v>519</v>
      </c>
      <c r="E237" t="s">
        <v>91</v>
      </c>
      <c r="F237">
        <v>16</v>
      </c>
      <c r="G237" t="s">
        <v>520</v>
      </c>
      <c r="H237" t="s">
        <v>48</v>
      </c>
      <c r="I237" t="s">
        <v>14</v>
      </c>
      <c r="K237">
        <v>59</v>
      </c>
      <c r="L237" t="s">
        <v>19</v>
      </c>
      <c r="M237" t="s">
        <v>28</v>
      </c>
    </row>
    <row r="238" spans="1:13" x14ac:dyDescent="0.3">
      <c r="A238" t="s">
        <v>521</v>
      </c>
      <c r="B238" s="8">
        <v>45095</v>
      </c>
      <c r="C238" s="9">
        <v>0.96875</v>
      </c>
      <c r="D238" t="s">
        <v>522</v>
      </c>
      <c r="E238" t="s">
        <v>91</v>
      </c>
      <c r="F238">
        <v>5</v>
      </c>
      <c r="G238" t="s">
        <v>520</v>
      </c>
      <c r="H238" t="s">
        <v>48</v>
      </c>
      <c r="I238" t="s">
        <v>14</v>
      </c>
      <c r="K238">
        <v>52</v>
      </c>
      <c r="L238" t="s">
        <v>18</v>
      </c>
      <c r="M238" t="s">
        <v>28</v>
      </c>
    </row>
    <row r="239" spans="1:13" x14ac:dyDescent="0.3">
      <c r="A239" t="s">
        <v>523</v>
      </c>
      <c r="B239" s="8">
        <v>45102</v>
      </c>
      <c r="C239" s="9">
        <v>0.40277777777777779</v>
      </c>
      <c r="D239" t="s">
        <v>524</v>
      </c>
      <c r="E239" t="s">
        <v>46</v>
      </c>
      <c r="F239">
        <v>46</v>
      </c>
      <c r="G239" t="s">
        <v>520</v>
      </c>
      <c r="H239" t="s">
        <v>48</v>
      </c>
      <c r="I239" t="s">
        <v>14</v>
      </c>
      <c r="K239">
        <v>45</v>
      </c>
      <c r="L239" t="s">
        <v>22</v>
      </c>
      <c r="M239" t="s">
        <v>28</v>
      </c>
    </row>
    <row r="240" spans="1:13" x14ac:dyDescent="0.3">
      <c r="A240" t="s">
        <v>525</v>
      </c>
      <c r="B240" s="8">
        <v>45078</v>
      </c>
      <c r="C240" s="9">
        <v>0.55763888888888891</v>
      </c>
      <c r="D240" t="s">
        <v>526</v>
      </c>
      <c r="E240" t="s">
        <v>46</v>
      </c>
      <c r="F240">
        <v>67</v>
      </c>
      <c r="G240" t="s">
        <v>520</v>
      </c>
      <c r="H240" t="s">
        <v>48</v>
      </c>
      <c r="I240" t="s">
        <v>14</v>
      </c>
      <c r="K240">
        <v>39</v>
      </c>
      <c r="L240" t="s">
        <v>24</v>
      </c>
      <c r="M240" t="s">
        <v>28</v>
      </c>
    </row>
    <row r="241" spans="1:13" x14ac:dyDescent="0.3">
      <c r="A241" t="s">
        <v>527</v>
      </c>
      <c r="B241" s="8">
        <v>45084</v>
      </c>
      <c r="C241" s="9">
        <v>0.18194444444444444</v>
      </c>
      <c r="D241" t="s">
        <v>528</v>
      </c>
      <c r="E241" t="s">
        <v>46</v>
      </c>
      <c r="F241">
        <v>54</v>
      </c>
      <c r="G241" t="s">
        <v>520</v>
      </c>
      <c r="H241" t="s">
        <v>48</v>
      </c>
      <c r="I241" t="s">
        <v>14</v>
      </c>
      <c r="K241">
        <v>54</v>
      </c>
      <c r="L241" t="s">
        <v>23</v>
      </c>
      <c r="M241" t="s">
        <v>28</v>
      </c>
    </row>
    <row r="242" spans="1:13" x14ac:dyDescent="0.3">
      <c r="A242" t="s">
        <v>529</v>
      </c>
      <c r="B242" s="8">
        <v>45451</v>
      </c>
      <c r="C242" s="9">
        <v>0.41458333333333336</v>
      </c>
      <c r="D242" t="s">
        <v>530</v>
      </c>
      <c r="E242" t="s">
        <v>46</v>
      </c>
      <c r="F242">
        <v>31</v>
      </c>
      <c r="G242" t="s">
        <v>520</v>
      </c>
      <c r="H242" t="s">
        <v>48</v>
      </c>
      <c r="I242" t="s">
        <v>14</v>
      </c>
      <c r="K242">
        <v>58</v>
      </c>
      <c r="L242" t="s">
        <v>21</v>
      </c>
      <c r="M242" t="s">
        <v>28</v>
      </c>
    </row>
    <row r="243" spans="1:13" x14ac:dyDescent="0.3">
      <c r="A243" t="s">
        <v>531</v>
      </c>
      <c r="B243" s="8">
        <v>45080</v>
      </c>
      <c r="C243" s="9">
        <v>0.15833333333333333</v>
      </c>
      <c r="D243" t="s">
        <v>532</v>
      </c>
      <c r="E243" t="s">
        <v>46</v>
      </c>
      <c r="F243">
        <v>43</v>
      </c>
      <c r="G243" t="s">
        <v>520</v>
      </c>
      <c r="H243" t="s">
        <v>48</v>
      </c>
      <c r="I243" t="s">
        <v>14</v>
      </c>
      <c r="K243">
        <v>41</v>
      </c>
      <c r="L243" t="s">
        <v>22</v>
      </c>
      <c r="M243" t="s">
        <v>28</v>
      </c>
    </row>
    <row r="244" spans="1:13" x14ac:dyDescent="0.3">
      <c r="A244" t="s">
        <v>533</v>
      </c>
      <c r="B244" s="8">
        <v>45451</v>
      </c>
      <c r="C244" s="9">
        <v>0.86736111111111114</v>
      </c>
      <c r="D244" t="s">
        <v>534</v>
      </c>
      <c r="E244" t="s">
        <v>46</v>
      </c>
      <c r="F244">
        <v>11</v>
      </c>
      <c r="G244" t="s">
        <v>520</v>
      </c>
      <c r="H244" t="s">
        <v>48</v>
      </c>
      <c r="I244" t="s">
        <v>14</v>
      </c>
      <c r="K244">
        <v>48</v>
      </c>
      <c r="L244" t="s">
        <v>19</v>
      </c>
      <c r="M244" t="s">
        <v>28</v>
      </c>
    </row>
    <row r="245" spans="1:13" x14ac:dyDescent="0.3">
      <c r="A245" t="s">
        <v>535</v>
      </c>
      <c r="B245" s="8">
        <v>45449</v>
      </c>
      <c r="C245" s="9">
        <v>0.2</v>
      </c>
      <c r="D245" t="s">
        <v>536</v>
      </c>
      <c r="E245" t="s">
        <v>46</v>
      </c>
      <c r="F245">
        <v>13</v>
      </c>
      <c r="G245" t="s">
        <v>520</v>
      </c>
      <c r="H245" t="s">
        <v>48</v>
      </c>
      <c r="I245" t="s">
        <v>14</v>
      </c>
      <c r="K245">
        <v>43</v>
      </c>
      <c r="L245" t="s">
        <v>19</v>
      </c>
      <c r="M245" t="s">
        <v>28</v>
      </c>
    </row>
    <row r="246" spans="1:13" x14ac:dyDescent="0.3">
      <c r="A246" t="s">
        <v>537</v>
      </c>
      <c r="B246" s="8">
        <v>45447</v>
      </c>
      <c r="C246" s="9">
        <v>0.18680555555555556</v>
      </c>
      <c r="D246" t="s">
        <v>538</v>
      </c>
      <c r="E246" t="s">
        <v>46</v>
      </c>
      <c r="F246">
        <v>37</v>
      </c>
      <c r="G246" t="s">
        <v>520</v>
      </c>
      <c r="H246" t="s">
        <v>48</v>
      </c>
      <c r="I246" t="s">
        <v>13</v>
      </c>
      <c r="K246">
        <v>54</v>
      </c>
      <c r="L246" t="s">
        <v>21</v>
      </c>
      <c r="M246" t="s">
        <v>28</v>
      </c>
    </row>
    <row r="247" spans="1:13" x14ac:dyDescent="0.3">
      <c r="A247" t="s">
        <v>539</v>
      </c>
      <c r="B247" s="8">
        <v>45105</v>
      </c>
      <c r="C247" s="9">
        <v>0.66319444444444442</v>
      </c>
      <c r="D247" t="s">
        <v>540</v>
      </c>
      <c r="E247" t="s">
        <v>91</v>
      </c>
      <c r="F247">
        <v>26</v>
      </c>
      <c r="G247" t="s">
        <v>520</v>
      </c>
      <c r="H247" t="s">
        <v>48</v>
      </c>
      <c r="I247" t="s">
        <v>13</v>
      </c>
      <c r="K247">
        <v>45</v>
      </c>
      <c r="L247" t="s">
        <v>20</v>
      </c>
      <c r="M247" t="s">
        <v>28</v>
      </c>
    </row>
    <row r="248" spans="1:13" x14ac:dyDescent="0.3">
      <c r="A248" t="s">
        <v>541</v>
      </c>
      <c r="B248" s="8">
        <v>45463</v>
      </c>
      <c r="C248" s="9">
        <v>0.98124999999999996</v>
      </c>
      <c r="D248" t="s">
        <v>542</v>
      </c>
      <c r="E248" t="s">
        <v>91</v>
      </c>
      <c r="F248">
        <v>31</v>
      </c>
      <c r="G248" t="s">
        <v>520</v>
      </c>
      <c r="H248" t="s">
        <v>48</v>
      </c>
      <c r="I248" t="s">
        <v>13</v>
      </c>
      <c r="K248">
        <v>48</v>
      </c>
      <c r="L248" t="s">
        <v>21</v>
      </c>
      <c r="M248" t="s">
        <v>28</v>
      </c>
    </row>
    <row r="249" spans="1:13" x14ac:dyDescent="0.3">
      <c r="A249" t="s">
        <v>543</v>
      </c>
      <c r="B249" s="8">
        <v>45099</v>
      </c>
      <c r="C249" s="9">
        <v>0.63055555555555554</v>
      </c>
      <c r="D249" t="s">
        <v>544</v>
      </c>
      <c r="E249" t="s">
        <v>46</v>
      </c>
      <c r="F249">
        <v>22</v>
      </c>
      <c r="G249" t="s">
        <v>520</v>
      </c>
      <c r="H249" t="s">
        <v>48</v>
      </c>
      <c r="I249" t="s">
        <v>13</v>
      </c>
      <c r="K249">
        <v>41</v>
      </c>
      <c r="L249" t="s">
        <v>20</v>
      </c>
      <c r="M249" t="s">
        <v>28</v>
      </c>
    </row>
    <row r="250" spans="1:13" x14ac:dyDescent="0.3">
      <c r="A250" t="s">
        <v>545</v>
      </c>
      <c r="B250" s="8">
        <v>45106</v>
      </c>
      <c r="C250" s="9">
        <v>0.89722222222222225</v>
      </c>
      <c r="D250" t="s">
        <v>546</v>
      </c>
      <c r="E250" t="s">
        <v>46</v>
      </c>
      <c r="F250">
        <v>71</v>
      </c>
      <c r="G250" t="s">
        <v>547</v>
      </c>
      <c r="H250" t="s">
        <v>48</v>
      </c>
      <c r="I250" t="s">
        <v>14</v>
      </c>
      <c r="K250">
        <v>54</v>
      </c>
      <c r="L250" t="s">
        <v>25</v>
      </c>
      <c r="M250" t="s">
        <v>28</v>
      </c>
    </row>
    <row r="251" spans="1:13" x14ac:dyDescent="0.3">
      <c r="A251" t="s">
        <v>548</v>
      </c>
      <c r="B251" s="8">
        <v>45473</v>
      </c>
      <c r="C251" s="9">
        <v>0.41388888888888886</v>
      </c>
      <c r="D251" t="s">
        <v>549</v>
      </c>
      <c r="E251" t="s">
        <v>46</v>
      </c>
      <c r="F251">
        <v>31</v>
      </c>
      <c r="G251" t="s">
        <v>547</v>
      </c>
      <c r="H251" t="s">
        <v>48</v>
      </c>
      <c r="I251" t="s">
        <v>14</v>
      </c>
      <c r="K251">
        <v>34</v>
      </c>
      <c r="L251" t="s">
        <v>21</v>
      </c>
      <c r="M251" t="s">
        <v>28</v>
      </c>
    </row>
    <row r="252" spans="1:13" x14ac:dyDescent="0.3">
      <c r="A252" t="s">
        <v>550</v>
      </c>
      <c r="B252" s="8">
        <v>45085</v>
      </c>
      <c r="C252" s="9">
        <v>0.64652777777777781</v>
      </c>
      <c r="D252" t="s">
        <v>551</v>
      </c>
      <c r="E252" t="s">
        <v>91</v>
      </c>
      <c r="F252">
        <v>54</v>
      </c>
      <c r="G252" t="s">
        <v>547</v>
      </c>
      <c r="H252" t="s">
        <v>48</v>
      </c>
      <c r="I252" t="s">
        <v>13</v>
      </c>
      <c r="K252">
        <v>39</v>
      </c>
      <c r="L252" t="s">
        <v>23</v>
      </c>
      <c r="M252" t="s">
        <v>28</v>
      </c>
    </row>
    <row r="253" spans="1:13" x14ac:dyDescent="0.3">
      <c r="A253" t="s">
        <v>552</v>
      </c>
      <c r="B253" s="8">
        <v>45082</v>
      </c>
      <c r="C253" s="9">
        <v>0.52777777777777779</v>
      </c>
      <c r="D253" t="s">
        <v>553</v>
      </c>
      <c r="E253" t="s">
        <v>46</v>
      </c>
      <c r="F253">
        <v>22</v>
      </c>
      <c r="G253" t="s">
        <v>547</v>
      </c>
      <c r="H253" t="s">
        <v>48</v>
      </c>
      <c r="I253" t="s">
        <v>13</v>
      </c>
      <c r="K253">
        <v>37</v>
      </c>
      <c r="L253" t="s">
        <v>20</v>
      </c>
      <c r="M253" t="s">
        <v>28</v>
      </c>
    </row>
    <row r="254" spans="1:13" x14ac:dyDescent="0.3">
      <c r="A254" t="s">
        <v>554</v>
      </c>
      <c r="B254" s="8">
        <v>45467</v>
      </c>
      <c r="C254" s="9">
        <v>0.20972222222222223</v>
      </c>
      <c r="D254" t="s">
        <v>555</v>
      </c>
      <c r="E254" t="s">
        <v>46</v>
      </c>
      <c r="F254">
        <v>17</v>
      </c>
      <c r="G254" t="s">
        <v>547</v>
      </c>
      <c r="H254" t="s">
        <v>48</v>
      </c>
      <c r="I254" t="s">
        <v>13</v>
      </c>
      <c r="K254">
        <v>33</v>
      </c>
      <c r="L254" t="s">
        <v>19</v>
      </c>
      <c r="M254" t="s">
        <v>28</v>
      </c>
    </row>
    <row r="255" spans="1:13" x14ac:dyDescent="0.3">
      <c r="A255" t="s">
        <v>556</v>
      </c>
      <c r="B255" s="8">
        <v>45087</v>
      </c>
      <c r="C255" s="9">
        <v>0.16527777777777777</v>
      </c>
      <c r="D255" t="s">
        <v>557</v>
      </c>
      <c r="E255" t="s">
        <v>46</v>
      </c>
      <c r="F255">
        <v>45</v>
      </c>
      <c r="G255" t="s">
        <v>547</v>
      </c>
      <c r="H255" t="s">
        <v>48</v>
      </c>
      <c r="I255" t="s">
        <v>13</v>
      </c>
      <c r="K255">
        <v>60</v>
      </c>
      <c r="L255" t="s">
        <v>22</v>
      </c>
      <c r="M255" t="s">
        <v>28</v>
      </c>
    </row>
    <row r="256" spans="1:13" x14ac:dyDescent="0.3">
      <c r="A256" t="s">
        <v>558</v>
      </c>
      <c r="B256" s="8">
        <v>45086</v>
      </c>
      <c r="C256" s="9">
        <v>0.59930555555555554</v>
      </c>
      <c r="D256" t="s">
        <v>559</v>
      </c>
      <c r="E256" t="s">
        <v>46</v>
      </c>
      <c r="F256">
        <v>41</v>
      </c>
      <c r="G256" t="s">
        <v>547</v>
      </c>
      <c r="H256" t="s">
        <v>48</v>
      </c>
      <c r="I256" t="s">
        <v>13</v>
      </c>
      <c r="K256">
        <v>44</v>
      </c>
      <c r="L256" t="s">
        <v>22</v>
      </c>
      <c r="M256" t="s">
        <v>28</v>
      </c>
    </row>
    <row r="257" spans="1:13" x14ac:dyDescent="0.3">
      <c r="A257" t="s">
        <v>560</v>
      </c>
      <c r="B257" s="8">
        <v>45470</v>
      </c>
      <c r="C257" s="9">
        <v>0.7993055555555556</v>
      </c>
      <c r="D257" t="s">
        <v>561</v>
      </c>
      <c r="E257" t="s">
        <v>46</v>
      </c>
      <c r="F257">
        <v>20</v>
      </c>
      <c r="G257" t="s">
        <v>547</v>
      </c>
      <c r="H257" t="s">
        <v>48</v>
      </c>
      <c r="I257" t="s">
        <v>13</v>
      </c>
      <c r="K257">
        <v>48</v>
      </c>
      <c r="L257" t="s">
        <v>19</v>
      </c>
      <c r="M257" t="s">
        <v>28</v>
      </c>
    </row>
    <row r="258" spans="1:13" x14ac:dyDescent="0.3">
      <c r="A258" t="s">
        <v>562</v>
      </c>
      <c r="B258" s="8">
        <v>45454</v>
      </c>
      <c r="C258" s="9">
        <v>0.44930555555555557</v>
      </c>
      <c r="D258" t="s">
        <v>563</v>
      </c>
      <c r="E258" t="s">
        <v>46</v>
      </c>
      <c r="F258">
        <v>35</v>
      </c>
      <c r="G258" t="s">
        <v>547</v>
      </c>
      <c r="H258" t="s">
        <v>48</v>
      </c>
      <c r="I258" t="s">
        <v>13</v>
      </c>
      <c r="K258">
        <v>46</v>
      </c>
      <c r="L258" t="s">
        <v>21</v>
      </c>
      <c r="M258" t="s">
        <v>28</v>
      </c>
    </row>
    <row r="259" spans="1:13" x14ac:dyDescent="0.3">
      <c r="A259" t="s">
        <v>564</v>
      </c>
      <c r="B259" s="8">
        <v>45460</v>
      </c>
      <c r="C259" s="9">
        <v>0.67083333333333328</v>
      </c>
      <c r="D259" t="s">
        <v>565</v>
      </c>
      <c r="E259" t="s">
        <v>46</v>
      </c>
      <c r="F259">
        <v>62</v>
      </c>
      <c r="G259" t="s">
        <v>547</v>
      </c>
      <c r="H259" t="s">
        <v>48</v>
      </c>
      <c r="I259" t="s">
        <v>13</v>
      </c>
      <c r="K259">
        <v>43</v>
      </c>
      <c r="L259" t="s">
        <v>24</v>
      </c>
      <c r="M259" t="s">
        <v>28</v>
      </c>
    </row>
    <row r="260" spans="1:13" x14ac:dyDescent="0.3">
      <c r="A260" t="s">
        <v>566</v>
      </c>
      <c r="B260" s="8">
        <v>45460</v>
      </c>
      <c r="C260" s="9">
        <v>0.11736111111111111</v>
      </c>
      <c r="D260" t="s">
        <v>567</v>
      </c>
      <c r="E260" t="s">
        <v>46</v>
      </c>
      <c r="F260">
        <v>34</v>
      </c>
      <c r="G260" t="s">
        <v>547</v>
      </c>
      <c r="H260" t="s">
        <v>568</v>
      </c>
      <c r="I260" t="s">
        <v>14</v>
      </c>
      <c r="K260">
        <v>59</v>
      </c>
      <c r="L260" t="s">
        <v>21</v>
      </c>
      <c r="M260" t="s">
        <v>28</v>
      </c>
    </row>
    <row r="261" spans="1:13" x14ac:dyDescent="0.3">
      <c r="A261" t="s">
        <v>569</v>
      </c>
      <c r="B261" s="8">
        <v>45085</v>
      </c>
      <c r="C261" s="9">
        <v>0.89513888888888893</v>
      </c>
      <c r="D261" t="s">
        <v>570</v>
      </c>
      <c r="E261" t="s">
        <v>91</v>
      </c>
      <c r="F261">
        <v>73</v>
      </c>
      <c r="G261" t="s">
        <v>547</v>
      </c>
      <c r="H261" t="s">
        <v>568</v>
      </c>
      <c r="I261" t="s">
        <v>14</v>
      </c>
      <c r="K261">
        <v>35</v>
      </c>
      <c r="L261" t="s">
        <v>25</v>
      </c>
      <c r="M261" t="s">
        <v>28</v>
      </c>
    </row>
    <row r="262" spans="1:13" x14ac:dyDescent="0.3">
      <c r="A262" t="s">
        <v>571</v>
      </c>
      <c r="B262" s="8">
        <v>45453</v>
      </c>
      <c r="C262" s="9">
        <v>0.10833333333333334</v>
      </c>
      <c r="D262" t="s">
        <v>572</v>
      </c>
      <c r="E262" t="s">
        <v>91</v>
      </c>
      <c r="F262">
        <v>59</v>
      </c>
      <c r="G262" t="s">
        <v>547</v>
      </c>
      <c r="H262" t="s">
        <v>568</v>
      </c>
      <c r="I262" t="s">
        <v>14</v>
      </c>
      <c r="K262">
        <v>43</v>
      </c>
      <c r="L262" t="s">
        <v>23</v>
      </c>
      <c r="M262" t="s">
        <v>28</v>
      </c>
    </row>
    <row r="263" spans="1:13" x14ac:dyDescent="0.3">
      <c r="A263" t="s">
        <v>573</v>
      </c>
      <c r="B263" s="8">
        <v>45456</v>
      </c>
      <c r="C263" s="9">
        <v>0.76249999999999996</v>
      </c>
      <c r="D263" t="s">
        <v>574</v>
      </c>
      <c r="E263" t="s">
        <v>46</v>
      </c>
      <c r="F263">
        <v>27</v>
      </c>
      <c r="G263" t="s">
        <v>547</v>
      </c>
      <c r="H263" t="s">
        <v>568</v>
      </c>
      <c r="I263" t="s">
        <v>14</v>
      </c>
      <c r="K263">
        <v>32</v>
      </c>
      <c r="L263" t="s">
        <v>20</v>
      </c>
      <c r="M263" t="s">
        <v>28</v>
      </c>
    </row>
    <row r="264" spans="1:13" x14ac:dyDescent="0.3">
      <c r="A264" t="s">
        <v>575</v>
      </c>
      <c r="B264" s="8">
        <v>45450</v>
      </c>
      <c r="C264" s="9">
        <v>0.40347222222222223</v>
      </c>
      <c r="D264" t="s">
        <v>576</v>
      </c>
      <c r="E264" t="s">
        <v>46</v>
      </c>
      <c r="F264">
        <v>65</v>
      </c>
      <c r="G264" t="s">
        <v>547</v>
      </c>
      <c r="H264" t="s">
        <v>568</v>
      </c>
      <c r="I264" t="s">
        <v>14</v>
      </c>
      <c r="K264">
        <v>51</v>
      </c>
      <c r="L264" t="s">
        <v>24</v>
      </c>
      <c r="M264" t="s">
        <v>28</v>
      </c>
    </row>
    <row r="265" spans="1:13" x14ac:dyDescent="0.3">
      <c r="A265" t="s">
        <v>577</v>
      </c>
      <c r="B265" s="8">
        <v>45085</v>
      </c>
      <c r="C265" s="9">
        <v>0.46250000000000002</v>
      </c>
      <c r="D265" t="s">
        <v>578</v>
      </c>
      <c r="E265" t="s">
        <v>91</v>
      </c>
      <c r="F265">
        <v>36</v>
      </c>
      <c r="G265" t="s">
        <v>547</v>
      </c>
      <c r="H265" t="s">
        <v>568</v>
      </c>
      <c r="I265" t="s">
        <v>13</v>
      </c>
      <c r="K265">
        <v>42</v>
      </c>
      <c r="L265" t="s">
        <v>21</v>
      </c>
      <c r="M265" t="s">
        <v>28</v>
      </c>
    </row>
    <row r="266" spans="1:13" x14ac:dyDescent="0.3">
      <c r="A266" t="s">
        <v>579</v>
      </c>
      <c r="B266" s="8">
        <v>45078</v>
      </c>
      <c r="C266" s="9">
        <v>0.48333333333333334</v>
      </c>
      <c r="D266" t="s">
        <v>580</v>
      </c>
      <c r="E266" t="s">
        <v>46</v>
      </c>
      <c r="F266">
        <v>40</v>
      </c>
      <c r="G266" t="s">
        <v>547</v>
      </c>
      <c r="H266" t="s">
        <v>568</v>
      </c>
      <c r="I266" t="s">
        <v>13</v>
      </c>
      <c r="K266">
        <v>41</v>
      </c>
      <c r="L266" t="s">
        <v>21</v>
      </c>
      <c r="M266" t="s">
        <v>28</v>
      </c>
    </row>
    <row r="267" spans="1:13" x14ac:dyDescent="0.3">
      <c r="A267" t="s">
        <v>581</v>
      </c>
      <c r="B267" s="8">
        <v>45467</v>
      </c>
      <c r="C267" s="9">
        <v>0.34305555555555556</v>
      </c>
      <c r="D267" t="s">
        <v>582</v>
      </c>
      <c r="E267" t="s">
        <v>91</v>
      </c>
      <c r="F267">
        <v>55</v>
      </c>
      <c r="G267" t="s">
        <v>520</v>
      </c>
      <c r="H267" t="s">
        <v>568</v>
      </c>
      <c r="I267" t="s">
        <v>14</v>
      </c>
      <c r="K267">
        <v>42</v>
      </c>
      <c r="L267" t="s">
        <v>23</v>
      </c>
      <c r="M267" t="s">
        <v>28</v>
      </c>
    </row>
    <row r="268" spans="1:13" x14ac:dyDescent="0.3">
      <c r="A268" t="s">
        <v>583</v>
      </c>
      <c r="B268" s="8">
        <v>45470</v>
      </c>
      <c r="C268" s="9">
        <v>0.69930555555555551</v>
      </c>
      <c r="D268" t="s">
        <v>584</v>
      </c>
      <c r="E268" t="s">
        <v>91</v>
      </c>
      <c r="F268">
        <v>72</v>
      </c>
      <c r="G268" t="s">
        <v>520</v>
      </c>
      <c r="H268" t="s">
        <v>568</v>
      </c>
      <c r="I268" t="s">
        <v>13</v>
      </c>
      <c r="K268">
        <v>39</v>
      </c>
      <c r="L268" t="s">
        <v>25</v>
      </c>
      <c r="M268" t="s">
        <v>28</v>
      </c>
    </row>
    <row r="269" spans="1:13" x14ac:dyDescent="0.3">
      <c r="A269" t="s">
        <v>585</v>
      </c>
      <c r="B269" s="8">
        <v>45470</v>
      </c>
      <c r="C269" s="9">
        <v>0.68333333333333335</v>
      </c>
      <c r="D269" t="s">
        <v>586</v>
      </c>
      <c r="E269" t="s">
        <v>91</v>
      </c>
      <c r="F269">
        <v>24</v>
      </c>
      <c r="G269" t="s">
        <v>376</v>
      </c>
      <c r="H269" t="s">
        <v>568</v>
      </c>
      <c r="I269" t="s">
        <v>13</v>
      </c>
      <c r="K269">
        <v>31</v>
      </c>
      <c r="L269" t="s">
        <v>20</v>
      </c>
      <c r="M269" t="s">
        <v>28</v>
      </c>
    </row>
    <row r="270" spans="1:13" x14ac:dyDescent="0.3">
      <c r="A270" t="s">
        <v>587</v>
      </c>
      <c r="B270" s="8">
        <v>45078</v>
      </c>
      <c r="C270" s="9">
        <v>0.4548611111111111</v>
      </c>
      <c r="D270" t="s">
        <v>588</v>
      </c>
      <c r="E270" t="s">
        <v>91</v>
      </c>
      <c r="F270">
        <v>63</v>
      </c>
      <c r="G270" t="s">
        <v>376</v>
      </c>
      <c r="H270" t="s">
        <v>568</v>
      </c>
      <c r="I270" t="s">
        <v>13</v>
      </c>
      <c r="K270">
        <v>41</v>
      </c>
      <c r="L270" t="s">
        <v>24</v>
      </c>
      <c r="M270" t="s">
        <v>28</v>
      </c>
    </row>
    <row r="271" spans="1:13" x14ac:dyDescent="0.3">
      <c r="A271" t="s">
        <v>589</v>
      </c>
      <c r="B271" s="8">
        <v>45100</v>
      </c>
      <c r="C271" s="9">
        <v>0.26319444444444445</v>
      </c>
      <c r="D271" t="s">
        <v>590</v>
      </c>
      <c r="E271" t="s">
        <v>46</v>
      </c>
      <c r="F271">
        <v>14</v>
      </c>
      <c r="G271" t="s">
        <v>376</v>
      </c>
      <c r="H271" t="s">
        <v>568</v>
      </c>
      <c r="I271" t="s">
        <v>13</v>
      </c>
      <c r="K271">
        <v>46</v>
      </c>
      <c r="L271" t="s">
        <v>19</v>
      </c>
      <c r="M271" t="s">
        <v>28</v>
      </c>
    </row>
    <row r="272" spans="1:13" x14ac:dyDescent="0.3">
      <c r="A272" t="s">
        <v>591</v>
      </c>
      <c r="B272" s="8">
        <v>45462</v>
      </c>
      <c r="C272" s="9">
        <v>9.3055555555555558E-2</v>
      </c>
      <c r="D272" t="s">
        <v>592</v>
      </c>
      <c r="E272" t="s">
        <v>91</v>
      </c>
      <c r="F272">
        <v>3</v>
      </c>
      <c r="G272" t="s">
        <v>376</v>
      </c>
      <c r="H272" t="s">
        <v>568</v>
      </c>
      <c r="I272" t="s">
        <v>14</v>
      </c>
      <c r="K272">
        <v>40</v>
      </c>
      <c r="L272" t="s">
        <v>18</v>
      </c>
      <c r="M272" t="s">
        <v>28</v>
      </c>
    </row>
    <row r="273" spans="1:13" x14ac:dyDescent="0.3">
      <c r="A273" t="s">
        <v>593</v>
      </c>
      <c r="B273" s="8">
        <v>45103</v>
      </c>
      <c r="C273" s="9">
        <v>0.22430555555555556</v>
      </c>
      <c r="D273" t="s">
        <v>594</v>
      </c>
      <c r="E273" t="s">
        <v>91</v>
      </c>
      <c r="F273">
        <v>66</v>
      </c>
      <c r="G273" t="s">
        <v>376</v>
      </c>
      <c r="H273" t="s">
        <v>568</v>
      </c>
      <c r="I273" t="s">
        <v>14</v>
      </c>
      <c r="K273">
        <v>43</v>
      </c>
      <c r="L273" t="s">
        <v>24</v>
      </c>
      <c r="M273" t="s">
        <v>28</v>
      </c>
    </row>
    <row r="274" spans="1:13" x14ac:dyDescent="0.3">
      <c r="A274" t="s">
        <v>595</v>
      </c>
      <c r="B274" s="8">
        <v>45461</v>
      </c>
      <c r="C274" s="9">
        <v>0</v>
      </c>
      <c r="D274" t="s">
        <v>596</v>
      </c>
      <c r="E274" t="s">
        <v>91</v>
      </c>
      <c r="F274">
        <v>39</v>
      </c>
      <c r="G274" t="s">
        <v>376</v>
      </c>
      <c r="H274" t="s">
        <v>568</v>
      </c>
      <c r="I274" t="s">
        <v>14</v>
      </c>
      <c r="K274">
        <v>49</v>
      </c>
      <c r="L274" t="s">
        <v>21</v>
      </c>
      <c r="M274" t="s">
        <v>28</v>
      </c>
    </row>
    <row r="275" spans="1:13" x14ac:dyDescent="0.3">
      <c r="A275" t="s">
        <v>597</v>
      </c>
      <c r="B275" s="8">
        <v>45080</v>
      </c>
      <c r="C275" s="9">
        <v>0.89444444444444449</v>
      </c>
      <c r="D275" t="s">
        <v>598</v>
      </c>
      <c r="E275" t="s">
        <v>46</v>
      </c>
      <c r="F275">
        <v>16</v>
      </c>
      <c r="G275" t="s">
        <v>376</v>
      </c>
      <c r="H275" t="s">
        <v>568</v>
      </c>
      <c r="I275" t="s">
        <v>14</v>
      </c>
      <c r="K275">
        <v>54</v>
      </c>
      <c r="L275" t="s">
        <v>19</v>
      </c>
      <c r="M275" t="s">
        <v>28</v>
      </c>
    </row>
    <row r="276" spans="1:13" x14ac:dyDescent="0.3">
      <c r="A276" t="s">
        <v>599</v>
      </c>
      <c r="B276" s="8">
        <v>45089</v>
      </c>
      <c r="C276" s="9">
        <v>0.4284722222222222</v>
      </c>
      <c r="D276" t="s">
        <v>600</v>
      </c>
      <c r="E276" t="s">
        <v>46</v>
      </c>
      <c r="F276">
        <v>32</v>
      </c>
      <c r="G276" t="s">
        <v>376</v>
      </c>
      <c r="H276" t="s">
        <v>568</v>
      </c>
      <c r="I276" t="s">
        <v>14</v>
      </c>
      <c r="K276">
        <v>43</v>
      </c>
      <c r="L276" t="s">
        <v>21</v>
      </c>
      <c r="M276" t="s">
        <v>28</v>
      </c>
    </row>
    <row r="277" spans="1:13" x14ac:dyDescent="0.3">
      <c r="A277" t="s">
        <v>601</v>
      </c>
      <c r="B277" s="8">
        <v>45088</v>
      </c>
      <c r="C277" s="9">
        <v>0.57152777777777775</v>
      </c>
      <c r="D277" t="s">
        <v>602</v>
      </c>
      <c r="E277" t="s">
        <v>46</v>
      </c>
      <c r="F277">
        <v>53</v>
      </c>
      <c r="G277" t="s">
        <v>376</v>
      </c>
      <c r="H277" t="s">
        <v>568</v>
      </c>
      <c r="I277" t="s">
        <v>14</v>
      </c>
      <c r="K277">
        <v>50</v>
      </c>
      <c r="L277" t="s">
        <v>23</v>
      </c>
      <c r="M277" t="s">
        <v>28</v>
      </c>
    </row>
    <row r="278" spans="1:13" x14ac:dyDescent="0.3">
      <c r="A278" t="s">
        <v>603</v>
      </c>
      <c r="B278" s="8">
        <v>45458</v>
      </c>
      <c r="C278" s="9">
        <v>0.44444444444444442</v>
      </c>
      <c r="D278" t="s">
        <v>604</v>
      </c>
      <c r="E278" t="s">
        <v>91</v>
      </c>
      <c r="F278">
        <v>29</v>
      </c>
      <c r="G278" t="s">
        <v>451</v>
      </c>
      <c r="H278" t="s">
        <v>568</v>
      </c>
      <c r="I278" t="s">
        <v>14</v>
      </c>
      <c r="K278">
        <v>50</v>
      </c>
      <c r="L278" t="s">
        <v>20</v>
      </c>
      <c r="M278" t="s">
        <v>28</v>
      </c>
    </row>
    <row r="279" spans="1:13" x14ac:dyDescent="0.3">
      <c r="A279" t="s">
        <v>605</v>
      </c>
      <c r="B279" s="8">
        <v>45090</v>
      </c>
      <c r="C279" s="9">
        <v>0.83819444444444446</v>
      </c>
      <c r="D279" t="s">
        <v>606</v>
      </c>
      <c r="E279" t="s">
        <v>91</v>
      </c>
      <c r="F279">
        <v>10</v>
      </c>
      <c r="G279" t="s">
        <v>451</v>
      </c>
      <c r="H279" t="s">
        <v>568</v>
      </c>
      <c r="I279" t="s">
        <v>14</v>
      </c>
      <c r="K279">
        <v>56</v>
      </c>
      <c r="L279" t="s">
        <v>18</v>
      </c>
      <c r="M279" t="s">
        <v>28</v>
      </c>
    </row>
    <row r="280" spans="1:13" x14ac:dyDescent="0.3">
      <c r="A280" t="s">
        <v>607</v>
      </c>
      <c r="B280" s="8">
        <v>45084</v>
      </c>
      <c r="C280" s="9">
        <v>0.17916666666666667</v>
      </c>
      <c r="D280" t="s">
        <v>608</v>
      </c>
      <c r="E280" t="s">
        <v>91</v>
      </c>
      <c r="F280">
        <v>40</v>
      </c>
      <c r="G280" t="s">
        <v>451</v>
      </c>
      <c r="H280" t="s">
        <v>568</v>
      </c>
      <c r="I280" t="s">
        <v>14</v>
      </c>
      <c r="K280">
        <v>33</v>
      </c>
      <c r="L280" t="s">
        <v>21</v>
      </c>
      <c r="M280" t="s">
        <v>28</v>
      </c>
    </row>
    <row r="281" spans="1:13" x14ac:dyDescent="0.3">
      <c r="A281" t="s">
        <v>609</v>
      </c>
      <c r="B281" s="8">
        <v>45456</v>
      </c>
      <c r="C281" s="9">
        <v>0.13333333333333333</v>
      </c>
      <c r="D281" t="s">
        <v>610</v>
      </c>
      <c r="E281" t="s">
        <v>91</v>
      </c>
      <c r="F281">
        <v>72</v>
      </c>
      <c r="G281" t="s">
        <v>451</v>
      </c>
      <c r="H281" t="s">
        <v>568</v>
      </c>
      <c r="I281" t="s">
        <v>14</v>
      </c>
      <c r="K281">
        <v>43</v>
      </c>
      <c r="L281" t="s">
        <v>25</v>
      </c>
      <c r="M281" t="s">
        <v>28</v>
      </c>
    </row>
    <row r="282" spans="1:13" x14ac:dyDescent="0.3">
      <c r="A282" t="s">
        <v>611</v>
      </c>
      <c r="B282" s="8">
        <v>45470</v>
      </c>
      <c r="C282" s="9">
        <v>0.48819444444444443</v>
      </c>
      <c r="D282" t="s">
        <v>612</v>
      </c>
      <c r="E282" t="s">
        <v>91</v>
      </c>
      <c r="F282">
        <v>33</v>
      </c>
      <c r="G282" t="s">
        <v>451</v>
      </c>
      <c r="H282" t="s">
        <v>568</v>
      </c>
      <c r="I282" t="s">
        <v>13</v>
      </c>
      <c r="K282">
        <v>58</v>
      </c>
      <c r="L282" t="s">
        <v>21</v>
      </c>
      <c r="M282" t="s">
        <v>28</v>
      </c>
    </row>
    <row r="283" spans="1:13" x14ac:dyDescent="0.3">
      <c r="A283" t="s">
        <v>613</v>
      </c>
      <c r="B283" s="8">
        <v>45458</v>
      </c>
      <c r="C283" s="9">
        <v>0.58333333333333337</v>
      </c>
      <c r="D283" t="s">
        <v>614</v>
      </c>
      <c r="E283" t="s">
        <v>91</v>
      </c>
      <c r="F283">
        <v>13</v>
      </c>
      <c r="G283" t="s">
        <v>451</v>
      </c>
      <c r="H283" t="s">
        <v>568</v>
      </c>
      <c r="I283" t="s">
        <v>13</v>
      </c>
      <c r="K283">
        <v>37</v>
      </c>
      <c r="L283" t="s">
        <v>19</v>
      </c>
      <c r="M283" t="s">
        <v>28</v>
      </c>
    </row>
    <row r="284" spans="1:13" x14ac:dyDescent="0.3">
      <c r="A284" t="s">
        <v>615</v>
      </c>
      <c r="B284" s="8">
        <v>45455</v>
      </c>
      <c r="C284" s="9">
        <v>0.61805555555555558</v>
      </c>
      <c r="D284" t="s">
        <v>616</v>
      </c>
      <c r="E284" t="s">
        <v>46</v>
      </c>
      <c r="F284">
        <v>50</v>
      </c>
      <c r="G284" t="s">
        <v>451</v>
      </c>
      <c r="H284" t="s">
        <v>568</v>
      </c>
      <c r="I284" t="s">
        <v>14</v>
      </c>
      <c r="K284">
        <v>60</v>
      </c>
      <c r="L284" t="s">
        <v>22</v>
      </c>
      <c r="M284" t="s">
        <v>28</v>
      </c>
    </row>
    <row r="285" spans="1:13" x14ac:dyDescent="0.3">
      <c r="A285" t="s">
        <v>617</v>
      </c>
      <c r="B285" s="8">
        <v>45084</v>
      </c>
      <c r="C285" s="9">
        <v>0.84791666666666665</v>
      </c>
      <c r="D285" t="s">
        <v>618</v>
      </c>
      <c r="E285" t="s">
        <v>46</v>
      </c>
      <c r="F285">
        <v>41</v>
      </c>
      <c r="G285" t="s">
        <v>451</v>
      </c>
      <c r="H285" t="s">
        <v>568</v>
      </c>
      <c r="I285" t="s">
        <v>14</v>
      </c>
      <c r="K285">
        <v>33</v>
      </c>
      <c r="L285" t="s">
        <v>22</v>
      </c>
      <c r="M285" t="s">
        <v>28</v>
      </c>
    </row>
    <row r="286" spans="1:13" x14ac:dyDescent="0.3">
      <c r="A286" t="s">
        <v>619</v>
      </c>
      <c r="B286" s="8">
        <v>45091</v>
      </c>
      <c r="C286" s="9">
        <v>0.84027777777777779</v>
      </c>
      <c r="D286" t="s">
        <v>620</v>
      </c>
      <c r="E286" t="s">
        <v>46</v>
      </c>
      <c r="F286">
        <v>16</v>
      </c>
      <c r="G286" t="s">
        <v>451</v>
      </c>
      <c r="H286" t="s">
        <v>568</v>
      </c>
      <c r="I286" t="s">
        <v>13</v>
      </c>
      <c r="K286">
        <v>33</v>
      </c>
      <c r="L286" t="s">
        <v>19</v>
      </c>
      <c r="M286" t="s">
        <v>28</v>
      </c>
    </row>
    <row r="287" spans="1:13" x14ac:dyDescent="0.3">
      <c r="A287" t="s">
        <v>621</v>
      </c>
      <c r="B287" s="8">
        <v>45471</v>
      </c>
      <c r="C287" s="9">
        <v>8.0555555555555561E-2</v>
      </c>
      <c r="D287" t="s">
        <v>622</v>
      </c>
      <c r="E287" t="s">
        <v>46</v>
      </c>
      <c r="F287">
        <v>26</v>
      </c>
      <c r="G287" t="s">
        <v>297</v>
      </c>
      <c r="H287" t="s">
        <v>568</v>
      </c>
      <c r="I287" t="s">
        <v>14</v>
      </c>
      <c r="K287">
        <v>40</v>
      </c>
      <c r="L287" t="s">
        <v>20</v>
      </c>
      <c r="M287" t="s">
        <v>28</v>
      </c>
    </row>
    <row r="288" spans="1:13" x14ac:dyDescent="0.3">
      <c r="A288" t="s">
        <v>623</v>
      </c>
      <c r="B288" s="8">
        <v>45469</v>
      </c>
      <c r="C288" s="9">
        <v>0.57013888888888886</v>
      </c>
      <c r="D288" t="s">
        <v>624</v>
      </c>
      <c r="E288" t="s">
        <v>46</v>
      </c>
      <c r="F288">
        <v>39</v>
      </c>
      <c r="G288" t="s">
        <v>297</v>
      </c>
      <c r="H288" t="s">
        <v>568</v>
      </c>
      <c r="I288" t="s">
        <v>14</v>
      </c>
      <c r="K288">
        <v>53</v>
      </c>
      <c r="L288" t="s">
        <v>21</v>
      </c>
      <c r="M288" t="s">
        <v>28</v>
      </c>
    </row>
    <row r="289" spans="1:13" x14ac:dyDescent="0.3">
      <c r="A289" t="s">
        <v>625</v>
      </c>
      <c r="B289" s="8">
        <v>45452</v>
      </c>
      <c r="C289" s="9">
        <v>0.97499999999999998</v>
      </c>
      <c r="D289" t="s">
        <v>626</v>
      </c>
      <c r="E289" t="s">
        <v>46</v>
      </c>
      <c r="F289">
        <v>22</v>
      </c>
      <c r="G289" t="s">
        <v>297</v>
      </c>
      <c r="H289" t="s">
        <v>568</v>
      </c>
      <c r="I289" t="s">
        <v>14</v>
      </c>
      <c r="K289">
        <v>35</v>
      </c>
      <c r="L289" t="s">
        <v>20</v>
      </c>
      <c r="M289" t="s">
        <v>28</v>
      </c>
    </row>
    <row r="290" spans="1:13" x14ac:dyDescent="0.3">
      <c r="A290" t="s">
        <v>627</v>
      </c>
      <c r="B290" s="8">
        <v>45470</v>
      </c>
      <c r="C290" s="9">
        <v>0.82013888888888886</v>
      </c>
      <c r="D290" t="s">
        <v>628</v>
      </c>
      <c r="E290" t="s">
        <v>46</v>
      </c>
      <c r="F290">
        <v>14</v>
      </c>
      <c r="G290" t="s">
        <v>297</v>
      </c>
      <c r="H290" t="s">
        <v>568</v>
      </c>
      <c r="I290" t="s">
        <v>14</v>
      </c>
      <c r="K290">
        <v>38</v>
      </c>
      <c r="L290" t="s">
        <v>19</v>
      </c>
      <c r="M290" t="s">
        <v>28</v>
      </c>
    </row>
    <row r="291" spans="1:13" x14ac:dyDescent="0.3">
      <c r="A291" t="s">
        <v>629</v>
      </c>
      <c r="B291" s="8">
        <v>45471</v>
      </c>
      <c r="C291" s="9">
        <v>2.1527777777777778E-2</v>
      </c>
      <c r="D291" t="s">
        <v>630</v>
      </c>
      <c r="E291" t="s">
        <v>46</v>
      </c>
      <c r="F291">
        <v>27</v>
      </c>
      <c r="G291" t="s">
        <v>297</v>
      </c>
      <c r="H291" t="s">
        <v>568</v>
      </c>
      <c r="I291" t="s">
        <v>13</v>
      </c>
      <c r="K291">
        <v>51</v>
      </c>
      <c r="L291" t="s">
        <v>20</v>
      </c>
      <c r="M291" t="s">
        <v>28</v>
      </c>
    </row>
    <row r="292" spans="1:13" x14ac:dyDescent="0.3">
      <c r="A292" t="s">
        <v>631</v>
      </c>
      <c r="B292" s="8">
        <v>45457</v>
      </c>
      <c r="C292" s="9">
        <v>0.4777777777777778</v>
      </c>
      <c r="D292" t="s">
        <v>632</v>
      </c>
      <c r="E292" t="s">
        <v>91</v>
      </c>
      <c r="F292">
        <v>10</v>
      </c>
      <c r="G292" t="s">
        <v>297</v>
      </c>
      <c r="H292" t="s">
        <v>568</v>
      </c>
      <c r="I292" t="s">
        <v>14</v>
      </c>
      <c r="K292">
        <v>55</v>
      </c>
      <c r="L292" t="s">
        <v>18</v>
      </c>
      <c r="M292" t="s">
        <v>28</v>
      </c>
    </row>
    <row r="293" spans="1:13" x14ac:dyDescent="0.3">
      <c r="A293" t="s">
        <v>633</v>
      </c>
      <c r="B293" s="8">
        <v>45451</v>
      </c>
      <c r="C293" s="9">
        <v>7.8472222222222221E-2</v>
      </c>
      <c r="D293" t="s">
        <v>634</v>
      </c>
      <c r="E293" t="s">
        <v>91</v>
      </c>
      <c r="F293">
        <v>19</v>
      </c>
      <c r="G293" t="s">
        <v>297</v>
      </c>
      <c r="H293" t="s">
        <v>568</v>
      </c>
      <c r="I293" t="s">
        <v>14</v>
      </c>
      <c r="K293">
        <v>52</v>
      </c>
      <c r="L293" t="s">
        <v>19</v>
      </c>
      <c r="M293" t="s">
        <v>28</v>
      </c>
    </row>
    <row r="294" spans="1:13" x14ac:dyDescent="0.3">
      <c r="A294" t="s">
        <v>635</v>
      </c>
      <c r="B294" s="8">
        <v>45090</v>
      </c>
      <c r="C294" s="9">
        <v>0.1125</v>
      </c>
      <c r="D294" t="s">
        <v>636</v>
      </c>
      <c r="E294" t="s">
        <v>91</v>
      </c>
      <c r="F294">
        <v>6</v>
      </c>
      <c r="G294" t="s">
        <v>297</v>
      </c>
      <c r="H294" t="s">
        <v>568</v>
      </c>
      <c r="I294" t="s">
        <v>14</v>
      </c>
      <c r="K294">
        <v>56</v>
      </c>
      <c r="L294" t="s">
        <v>18</v>
      </c>
      <c r="M294" t="s">
        <v>28</v>
      </c>
    </row>
    <row r="295" spans="1:13" x14ac:dyDescent="0.3">
      <c r="A295" t="s">
        <v>637</v>
      </c>
      <c r="B295" s="8">
        <v>45453</v>
      </c>
      <c r="C295" s="9">
        <v>0.53819444444444442</v>
      </c>
      <c r="D295" t="s">
        <v>638</v>
      </c>
      <c r="E295" t="s">
        <v>91</v>
      </c>
      <c r="F295">
        <v>76</v>
      </c>
      <c r="G295" t="s">
        <v>297</v>
      </c>
      <c r="H295" t="s">
        <v>568</v>
      </c>
      <c r="I295" t="s">
        <v>13</v>
      </c>
      <c r="K295">
        <v>39</v>
      </c>
      <c r="L295" t="s">
        <v>25</v>
      </c>
      <c r="M295" t="s">
        <v>28</v>
      </c>
    </row>
    <row r="296" spans="1:13" x14ac:dyDescent="0.3">
      <c r="A296" t="s">
        <v>639</v>
      </c>
      <c r="B296" s="8">
        <v>45104</v>
      </c>
      <c r="C296" s="9">
        <v>0.90486111111111112</v>
      </c>
      <c r="D296" t="s">
        <v>640</v>
      </c>
      <c r="E296" t="s">
        <v>91</v>
      </c>
      <c r="F296">
        <v>69</v>
      </c>
      <c r="G296" t="s">
        <v>297</v>
      </c>
      <c r="H296" t="s">
        <v>568</v>
      </c>
      <c r="I296" t="s">
        <v>13</v>
      </c>
      <c r="K296">
        <v>48</v>
      </c>
      <c r="L296" t="s">
        <v>24</v>
      </c>
      <c r="M296" t="s">
        <v>28</v>
      </c>
    </row>
    <row r="297" spans="1:13" x14ac:dyDescent="0.3">
      <c r="A297" t="s">
        <v>641</v>
      </c>
      <c r="B297" s="8">
        <v>45101</v>
      </c>
      <c r="C297" s="9">
        <v>0.87013888888888891</v>
      </c>
      <c r="D297" t="s">
        <v>642</v>
      </c>
      <c r="E297" t="s">
        <v>91</v>
      </c>
      <c r="F297">
        <v>71</v>
      </c>
      <c r="G297" t="s">
        <v>297</v>
      </c>
      <c r="H297" t="s">
        <v>568</v>
      </c>
      <c r="I297" t="s">
        <v>13</v>
      </c>
      <c r="K297">
        <v>54</v>
      </c>
      <c r="L297" t="s">
        <v>25</v>
      </c>
      <c r="M297" t="s">
        <v>28</v>
      </c>
    </row>
    <row r="298" spans="1:13" x14ac:dyDescent="0.3">
      <c r="A298" t="s">
        <v>643</v>
      </c>
      <c r="B298" s="8">
        <v>45453</v>
      </c>
      <c r="C298" s="9">
        <v>0.88124999999999998</v>
      </c>
      <c r="D298" t="s">
        <v>644</v>
      </c>
      <c r="E298" t="s">
        <v>91</v>
      </c>
      <c r="F298">
        <v>51</v>
      </c>
      <c r="G298" t="s">
        <v>297</v>
      </c>
      <c r="H298" t="s">
        <v>568</v>
      </c>
      <c r="I298" t="s">
        <v>13</v>
      </c>
      <c r="K298">
        <v>38</v>
      </c>
      <c r="L298" t="s">
        <v>23</v>
      </c>
      <c r="M298" t="s">
        <v>28</v>
      </c>
    </row>
    <row r="299" spans="1:13" x14ac:dyDescent="0.3">
      <c r="A299" t="s">
        <v>645</v>
      </c>
      <c r="B299" s="8">
        <v>45446</v>
      </c>
      <c r="C299" s="9">
        <v>8.6805555555555552E-2</v>
      </c>
      <c r="D299" t="s">
        <v>646</v>
      </c>
      <c r="E299" t="s">
        <v>91</v>
      </c>
      <c r="F299">
        <v>55</v>
      </c>
      <c r="G299" t="s">
        <v>297</v>
      </c>
      <c r="H299" t="s">
        <v>568</v>
      </c>
      <c r="I299" t="s">
        <v>13</v>
      </c>
      <c r="K299">
        <v>36</v>
      </c>
      <c r="L299" t="s">
        <v>23</v>
      </c>
      <c r="M299" t="s">
        <v>28</v>
      </c>
    </row>
    <row r="300" spans="1:13" x14ac:dyDescent="0.3">
      <c r="A300" t="s">
        <v>647</v>
      </c>
      <c r="B300" s="8">
        <v>45472</v>
      </c>
      <c r="C300" s="9">
        <v>0.60069444444444442</v>
      </c>
      <c r="D300" t="s">
        <v>648</v>
      </c>
      <c r="E300" t="s">
        <v>91</v>
      </c>
      <c r="F300">
        <v>13</v>
      </c>
      <c r="G300" t="s">
        <v>192</v>
      </c>
      <c r="H300" t="s">
        <v>568</v>
      </c>
      <c r="I300" t="s">
        <v>14</v>
      </c>
      <c r="K300">
        <v>33</v>
      </c>
      <c r="L300" t="s">
        <v>19</v>
      </c>
      <c r="M300" t="s">
        <v>28</v>
      </c>
    </row>
    <row r="301" spans="1:13" x14ac:dyDescent="0.3">
      <c r="A301" t="s">
        <v>649</v>
      </c>
      <c r="B301" s="8">
        <v>45469</v>
      </c>
      <c r="C301" s="9">
        <v>0.37847222222222221</v>
      </c>
      <c r="D301" t="s">
        <v>650</v>
      </c>
      <c r="E301" t="s">
        <v>91</v>
      </c>
      <c r="F301">
        <v>27</v>
      </c>
      <c r="G301" t="s">
        <v>192</v>
      </c>
      <c r="H301" t="s">
        <v>568</v>
      </c>
      <c r="I301" t="s">
        <v>14</v>
      </c>
      <c r="K301">
        <v>43</v>
      </c>
      <c r="L301" t="s">
        <v>20</v>
      </c>
      <c r="M301" t="s">
        <v>28</v>
      </c>
    </row>
    <row r="302" spans="1:13" x14ac:dyDescent="0.3">
      <c r="A302" t="s">
        <v>651</v>
      </c>
      <c r="B302" s="8">
        <v>45092</v>
      </c>
      <c r="C302" s="9">
        <v>2.0833333333333333E-3</v>
      </c>
      <c r="D302" t="s">
        <v>652</v>
      </c>
      <c r="E302" t="s">
        <v>91</v>
      </c>
      <c r="F302">
        <v>26</v>
      </c>
      <c r="G302" t="s">
        <v>192</v>
      </c>
      <c r="H302" t="s">
        <v>568</v>
      </c>
      <c r="I302" t="s">
        <v>14</v>
      </c>
      <c r="K302">
        <v>43</v>
      </c>
      <c r="L302" t="s">
        <v>20</v>
      </c>
      <c r="M302" t="s">
        <v>28</v>
      </c>
    </row>
    <row r="303" spans="1:13" x14ac:dyDescent="0.3">
      <c r="A303" t="s">
        <v>653</v>
      </c>
      <c r="B303" s="8">
        <v>45458</v>
      </c>
      <c r="C303" s="9">
        <v>0.81388888888888888</v>
      </c>
      <c r="D303" t="s">
        <v>654</v>
      </c>
      <c r="E303" t="s">
        <v>91</v>
      </c>
      <c r="F303">
        <v>28</v>
      </c>
      <c r="G303" t="s">
        <v>192</v>
      </c>
      <c r="H303" t="s">
        <v>568</v>
      </c>
      <c r="I303" t="s">
        <v>13</v>
      </c>
      <c r="K303">
        <v>50</v>
      </c>
      <c r="L303" t="s">
        <v>20</v>
      </c>
      <c r="M303" t="s">
        <v>28</v>
      </c>
    </row>
    <row r="304" spans="1:13" x14ac:dyDescent="0.3">
      <c r="A304" t="s">
        <v>655</v>
      </c>
      <c r="B304" s="8">
        <v>45460</v>
      </c>
      <c r="C304" s="9">
        <v>0.68055555555555558</v>
      </c>
      <c r="D304" t="s">
        <v>656</v>
      </c>
      <c r="E304" t="s">
        <v>91</v>
      </c>
      <c r="F304">
        <v>17</v>
      </c>
      <c r="G304" t="s">
        <v>192</v>
      </c>
      <c r="H304" t="s">
        <v>568</v>
      </c>
      <c r="I304" t="s">
        <v>13</v>
      </c>
      <c r="K304">
        <v>43</v>
      </c>
      <c r="L304" t="s">
        <v>19</v>
      </c>
      <c r="M304" t="s">
        <v>28</v>
      </c>
    </row>
    <row r="305" spans="1:13" x14ac:dyDescent="0.3">
      <c r="A305" t="s">
        <v>657</v>
      </c>
      <c r="B305" s="8">
        <v>45095</v>
      </c>
      <c r="C305" s="9">
        <v>0.26180555555555557</v>
      </c>
      <c r="D305" t="s">
        <v>658</v>
      </c>
      <c r="E305" t="s">
        <v>91</v>
      </c>
      <c r="F305">
        <v>47</v>
      </c>
      <c r="G305" t="s">
        <v>192</v>
      </c>
      <c r="H305" t="s">
        <v>568</v>
      </c>
      <c r="I305" t="s">
        <v>13</v>
      </c>
      <c r="K305">
        <v>50</v>
      </c>
      <c r="L305" t="s">
        <v>22</v>
      </c>
      <c r="M305" t="s">
        <v>28</v>
      </c>
    </row>
    <row r="306" spans="1:13" x14ac:dyDescent="0.3">
      <c r="A306" t="s">
        <v>659</v>
      </c>
      <c r="B306" s="8">
        <v>45096</v>
      </c>
      <c r="C306" s="9">
        <v>3.7499999999999999E-2</v>
      </c>
      <c r="D306" t="s">
        <v>660</v>
      </c>
      <c r="E306" t="s">
        <v>46</v>
      </c>
      <c r="F306">
        <v>42</v>
      </c>
      <c r="G306" t="s">
        <v>192</v>
      </c>
      <c r="H306" t="s">
        <v>568</v>
      </c>
      <c r="I306" t="s">
        <v>14</v>
      </c>
      <c r="K306">
        <v>33</v>
      </c>
      <c r="L306" t="s">
        <v>22</v>
      </c>
      <c r="M306" t="s">
        <v>28</v>
      </c>
    </row>
    <row r="307" spans="1:13" x14ac:dyDescent="0.3">
      <c r="A307" t="s">
        <v>661</v>
      </c>
      <c r="B307" s="8">
        <v>45461</v>
      </c>
      <c r="C307" s="9">
        <v>0.95486111111111116</v>
      </c>
      <c r="D307" t="s">
        <v>662</v>
      </c>
      <c r="E307" t="s">
        <v>46</v>
      </c>
      <c r="F307">
        <v>42</v>
      </c>
      <c r="G307" t="s">
        <v>192</v>
      </c>
      <c r="H307" t="s">
        <v>568</v>
      </c>
      <c r="I307" t="s">
        <v>14</v>
      </c>
      <c r="K307">
        <v>59</v>
      </c>
      <c r="L307" t="s">
        <v>22</v>
      </c>
      <c r="M307" t="s">
        <v>28</v>
      </c>
    </row>
    <row r="308" spans="1:13" x14ac:dyDescent="0.3">
      <c r="A308" t="s">
        <v>663</v>
      </c>
      <c r="B308" s="8">
        <v>45471</v>
      </c>
      <c r="C308" s="9">
        <v>0.98541666666666672</v>
      </c>
      <c r="D308" t="s">
        <v>664</v>
      </c>
      <c r="E308" t="s">
        <v>46</v>
      </c>
      <c r="F308">
        <v>43</v>
      </c>
      <c r="G308" t="s">
        <v>192</v>
      </c>
      <c r="H308" t="s">
        <v>568</v>
      </c>
      <c r="I308" t="s">
        <v>14</v>
      </c>
      <c r="K308">
        <v>43</v>
      </c>
      <c r="L308" t="s">
        <v>22</v>
      </c>
      <c r="M308" t="s">
        <v>28</v>
      </c>
    </row>
    <row r="309" spans="1:13" x14ac:dyDescent="0.3">
      <c r="A309" t="s">
        <v>665</v>
      </c>
      <c r="B309" s="8">
        <v>45104</v>
      </c>
      <c r="C309" s="9">
        <v>3.4027777777777775E-2</v>
      </c>
      <c r="D309" t="s">
        <v>666</v>
      </c>
      <c r="E309" t="s">
        <v>46</v>
      </c>
      <c r="F309">
        <v>71</v>
      </c>
      <c r="G309" t="s">
        <v>192</v>
      </c>
      <c r="H309" t="s">
        <v>568</v>
      </c>
      <c r="I309" t="s">
        <v>14</v>
      </c>
      <c r="K309">
        <v>42</v>
      </c>
      <c r="L309" t="s">
        <v>25</v>
      </c>
      <c r="M309" t="s">
        <v>28</v>
      </c>
    </row>
    <row r="310" spans="1:13" x14ac:dyDescent="0.3">
      <c r="A310" t="s">
        <v>667</v>
      </c>
      <c r="B310" s="8">
        <v>45088</v>
      </c>
      <c r="C310" s="9">
        <v>0.38958333333333334</v>
      </c>
      <c r="D310" t="s">
        <v>668</v>
      </c>
      <c r="E310" t="s">
        <v>46</v>
      </c>
      <c r="F310">
        <v>11</v>
      </c>
      <c r="G310" t="s">
        <v>192</v>
      </c>
      <c r="H310" t="s">
        <v>568</v>
      </c>
      <c r="I310" t="s">
        <v>13</v>
      </c>
      <c r="K310">
        <v>58</v>
      </c>
      <c r="L310" t="s">
        <v>19</v>
      </c>
      <c r="M310" t="s">
        <v>28</v>
      </c>
    </row>
    <row r="311" spans="1:13" x14ac:dyDescent="0.3">
      <c r="A311" t="s">
        <v>669</v>
      </c>
      <c r="B311" s="8">
        <v>45451</v>
      </c>
      <c r="C311" s="9">
        <v>0.13680555555555557</v>
      </c>
      <c r="D311" t="s">
        <v>670</v>
      </c>
      <c r="E311" t="s">
        <v>46</v>
      </c>
      <c r="F311">
        <v>67</v>
      </c>
      <c r="G311" t="s">
        <v>192</v>
      </c>
      <c r="H311" t="s">
        <v>568</v>
      </c>
      <c r="I311" t="s">
        <v>13</v>
      </c>
      <c r="K311">
        <v>58</v>
      </c>
      <c r="L311" t="s">
        <v>24</v>
      </c>
      <c r="M311" t="s">
        <v>28</v>
      </c>
    </row>
    <row r="312" spans="1:13" x14ac:dyDescent="0.3">
      <c r="A312" t="s">
        <v>671</v>
      </c>
      <c r="B312" s="8">
        <v>45470</v>
      </c>
      <c r="C312" s="9">
        <v>0.11805555555555555</v>
      </c>
      <c r="D312" t="s">
        <v>672</v>
      </c>
      <c r="E312" t="s">
        <v>46</v>
      </c>
      <c r="F312">
        <v>73</v>
      </c>
      <c r="G312" t="s">
        <v>192</v>
      </c>
      <c r="H312" t="s">
        <v>568</v>
      </c>
      <c r="I312" t="s">
        <v>13</v>
      </c>
      <c r="K312">
        <v>51</v>
      </c>
      <c r="L312" t="s">
        <v>25</v>
      </c>
      <c r="M312" t="s">
        <v>28</v>
      </c>
    </row>
    <row r="313" spans="1:13" x14ac:dyDescent="0.3">
      <c r="A313" t="s">
        <v>673</v>
      </c>
      <c r="B313" s="8">
        <v>45091</v>
      </c>
      <c r="C313" s="9">
        <v>0.30416666666666664</v>
      </c>
      <c r="D313" t="s">
        <v>674</v>
      </c>
      <c r="E313" t="s">
        <v>46</v>
      </c>
      <c r="F313">
        <v>29</v>
      </c>
      <c r="G313" t="s">
        <v>192</v>
      </c>
      <c r="H313" t="s">
        <v>568</v>
      </c>
      <c r="I313" t="s">
        <v>13</v>
      </c>
      <c r="K313">
        <v>59</v>
      </c>
      <c r="L313" t="s">
        <v>20</v>
      </c>
      <c r="M313" t="s">
        <v>28</v>
      </c>
    </row>
    <row r="314" spans="1:13" x14ac:dyDescent="0.3">
      <c r="A314" t="s">
        <v>675</v>
      </c>
      <c r="B314" s="8">
        <v>45468</v>
      </c>
      <c r="C314" s="9">
        <v>0.15347222222222223</v>
      </c>
      <c r="D314" t="s">
        <v>676</v>
      </c>
      <c r="E314" t="s">
        <v>46</v>
      </c>
      <c r="F314">
        <v>3</v>
      </c>
      <c r="G314" t="s">
        <v>192</v>
      </c>
      <c r="H314" t="s">
        <v>568</v>
      </c>
      <c r="I314" t="s">
        <v>13</v>
      </c>
      <c r="K314">
        <v>41</v>
      </c>
      <c r="L314" t="s">
        <v>18</v>
      </c>
      <c r="M314" t="s">
        <v>28</v>
      </c>
    </row>
    <row r="315" spans="1:13" x14ac:dyDescent="0.3">
      <c r="A315" t="s">
        <v>677</v>
      </c>
      <c r="B315" s="8">
        <v>45083</v>
      </c>
      <c r="C315" s="9">
        <v>0.76875000000000004</v>
      </c>
      <c r="D315" t="s">
        <v>678</v>
      </c>
      <c r="E315" t="s">
        <v>46</v>
      </c>
      <c r="F315">
        <v>29</v>
      </c>
      <c r="G315" t="s">
        <v>192</v>
      </c>
      <c r="H315" t="s">
        <v>568</v>
      </c>
      <c r="I315" t="s">
        <v>13</v>
      </c>
      <c r="K315">
        <v>34</v>
      </c>
      <c r="L315" t="s">
        <v>20</v>
      </c>
      <c r="M315" t="s">
        <v>28</v>
      </c>
    </row>
    <row r="316" spans="1:13" x14ac:dyDescent="0.3">
      <c r="A316" t="s">
        <v>679</v>
      </c>
      <c r="B316" s="8">
        <v>45083</v>
      </c>
      <c r="C316" s="9">
        <v>0.4201388888888889</v>
      </c>
      <c r="D316" t="s">
        <v>680</v>
      </c>
      <c r="E316" t="s">
        <v>91</v>
      </c>
      <c r="F316">
        <v>74</v>
      </c>
      <c r="G316" t="s">
        <v>47</v>
      </c>
      <c r="H316" t="s">
        <v>568</v>
      </c>
      <c r="I316" t="s">
        <v>13</v>
      </c>
      <c r="K316">
        <v>52</v>
      </c>
      <c r="L316" t="s">
        <v>25</v>
      </c>
      <c r="M316" t="s">
        <v>28</v>
      </c>
    </row>
    <row r="317" spans="1:13" x14ac:dyDescent="0.3">
      <c r="A317" t="s">
        <v>681</v>
      </c>
      <c r="B317" s="8">
        <v>45448</v>
      </c>
      <c r="C317" s="9">
        <v>0.96319444444444446</v>
      </c>
      <c r="D317" t="s">
        <v>682</v>
      </c>
      <c r="E317" t="s">
        <v>91</v>
      </c>
      <c r="F317">
        <v>11</v>
      </c>
      <c r="G317" t="s">
        <v>47</v>
      </c>
      <c r="H317" t="s">
        <v>568</v>
      </c>
      <c r="I317" t="s">
        <v>13</v>
      </c>
      <c r="K317">
        <v>39</v>
      </c>
      <c r="L317" t="s">
        <v>19</v>
      </c>
      <c r="M317" t="s">
        <v>28</v>
      </c>
    </row>
    <row r="318" spans="1:13" x14ac:dyDescent="0.3">
      <c r="A318" t="s">
        <v>683</v>
      </c>
      <c r="B318" s="8">
        <v>45451</v>
      </c>
      <c r="C318" s="9">
        <v>0.61736111111111114</v>
      </c>
      <c r="D318" t="s">
        <v>684</v>
      </c>
      <c r="E318" t="s">
        <v>91</v>
      </c>
      <c r="F318">
        <v>64</v>
      </c>
      <c r="G318" t="s">
        <v>47</v>
      </c>
      <c r="H318" t="s">
        <v>568</v>
      </c>
      <c r="I318" t="s">
        <v>13</v>
      </c>
      <c r="K318">
        <v>59</v>
      </c>
      <c r="L318" t="s">
        <v>24</v>
      </c>
      <c r="M318" t="s">
        <v>28</v>
      </c>
    </row>
    <row r="319" spans="1:13" x14ac:dyDescent="0.3">
      <c r="A319" t="s">
        <v>685</v>
      </c>
      <c r="B319" s="8">
        <v>45094</v>
      </c>
      <c r="C319" s="9">
        <v>0.38819444444444445</v>
      </c>
      <c r="D319" t="s">
        <v>686</v>
      </c>
      <c r="E319" t="s">
        <v>91</v>
      </c>
      <c r="F319">
        <v>78</v>
      </c>
      <c r="G319" t="s">
        <v>47</v>
      </c>
      <c r="H319" t="s">
        <v>568</v>
      </c>
      <c r="I319" t="s">
        <v>13</v>
      </c>
      <c r="K319">
        <v>33</v>
      </c>
      <c r="L319" t="s">
        <v>25</v>
      </c>
      <c r="M319" t="s">
        <v>28</v>
      </c>
    </row>
    <row r="320" spans="1:13" x14ac:dyDescent="0.3">
      <c r="A320" t="s">
        <v>687</v>
      </c>
      <c r="B320" s="8">
        <v>45461</v>
      </c>
      <c r="C320" s="9">
        <v>2.4305555555555556E-2</v>
      </c>
      <c r="D320" t="s">
        <v>688</v>
      </c>
      <c r="E320" t="s">
        <v>91</v>
      </c>
      <c r="F320">
        <v>6</v>
      </c>
      <c r="G320" t="s">
        <v>47</v>
      </c>
      <c r="H320" t="s">
        <v>568</v>
      </c>
      <c r="I320" t="s">
        <v>13</v>
      </c>
      <c r="K320">
        <v>38</v>
      </c>
      <c r="L320" t="s">
        <v>18</v>
      </c>
      <c r="M320" t="s">
        <v>28</v>
      </c>
    </row>
    <row r="321" spans="1:13" x14ac:dyDescent="0.3">
      <c r="A321" t="s">
        <v>689</v>
      </c>
      <c r="B321" s="8">
        <v>45463</v>
      </c>
      <c r="C321" s="9">
        <v>2.5000000000000001E-2</v>
      </c>
      <c r="D321" t="s">
        <v>690</v>
      </c>
      <c r="E321" t="s">
        <v>91</v>
      </c>
      <c r="F321">
        <v>59</v>
      </c>
      <c r="G321" t="s">
        <v>47</v>
      </c>
      <c r="H321" t="s">
        <v>568</v>
      </c>
      <c r="I321" t="s">
        <v>13</v>
      </c>
      <c r="K321">
        <v>52</v>
      </c>
      <c r="L321" t="s">
        <v>23</v>
      </c>
      <c r="M321" t="s">
        <v>28</v>
      </c>
    </row>
    <row r="322" spans="1:13" x14ac:dyDescent="0.3">
      <c r="A322" t="s">
        <v>691</v>
      </c>
      <c r="B322" s="8">
        <v>45099</v>
      </c>
      <c r="C322" s="9">
        <v>0.27291666666666664</v>
      </c>
      <c r="D322" t="s">
        <v>692</v>
      </c>
      <c r="E322" t="s">
        <v>91</v>
      </c>
      <c r="F322">
        <v>19</v>
      </c>
      <c r="G322" t="s">
        <v>47</v>
      </c>
      <c r="H322" t="s">
        <v>568</v>
      </c>
      <c r="I322" t="s">
        <v>13</v>
      </c>
      <c r="K322">
        <v>59</v>
      </c>
      <c r="L322" t="s">
        <v>19</v>
      </c>
      <c r="M322" t="s">
        <v>28</v>
      </c>
    </row>
    <row r="323" spans="1:13" x14ac:dyDescent="0.3">
      <c r="A323" t="s">
        <v>693</v>
      </c>
      <c r="B323" s="8">
        <v>45083</v>
      </c>
      <c r="C323" s="9">
        <v>0.84236111111111112</v>
      </c>
      <c r="D323" t="s">
        <v>694</v>
      </c>
      <c r="E323" t="s">
        <v>91</v>
      </c>
      <c r="F323">
        <v>38</v>
      </c>
      <c r="G323" t="s">
        <v>47</v>
      </c>
      <c r="H323" t="s">
        <v>568</v>
      </c>
      <c r="I323" t="s">
        <v>13</v>
      </c>
      <c r="K323">
        <v>34</v>
      </c>
      <c r="L323" t="s">
        <v>21</v>
      </c>
      <c r="M323" t="s">
        <v>28</v>
      </c>
    </row>
    <row r="324" spans="1:13" x14ac:dyDescent="0.3">
      <c r="A324" t="s">
        <v>695</v>
      </c>
      <c r="B324" s="8">
        <v>45098</v>
      </c>
      <c r="C324" s="9">
        <v>0.98055555555555551</v>
      </c>
      <c r="D324" t="s">
        <v>696</v>
      </c>
      <c r="E324" t="s">
        <v>91</v>
      </c>
      <c r="F324">
        <v>73</v>
      </c>
      <c r="G324" t="s">
        <v>47</v>
      </c>
      <c r="H324" t="s">
        <v>568</v>
      </c>
      <c r="I324" t="s">
        <v>13</v>
      </c>
      <c r="K324">
        <v>38</v>
      </c>
      <c r="L324" t="s">
        <v>25</v>
      </c>
      <c r="M324" t="s">
        <v>28</v>
      </c>
    </row>
    <row r="325" spans="1:13" x14ac:dyDescent="0.3">
      <c r="A325" t="s">
        <v>697</v>
      </c>
      <c r="B325" s="8">
        <v>45083</v>
      </c>
      <c r="C325" s="9">
        <v>0.25</v>
      </c>
      <c r="D325" t="s">
        <v>698</v>
      </c>
      <c r="E325" t="s">
        <v>46</v>
      </c>
      <c r="F325">
        <v>72</v>
      </c>
      <c r="G325" t="s">
        <v>47</v>
      </c>
      <c r="H325" t="s">
        <v>568</v>
      </c>
      <c r="I325" t="s">
        <v>13</v>
      </c>
      <c r="K325">
        <v>34</v>
      </c>
      <c r="L325" t="s">
        <v>25</v>
      </c>
      <c r="M325" t="s">
        <v>28</v>
      </c>
    </row>
    <row r="326" spans="1:13" x14ac:dyDescent="0.3">
      <c r="A326" t="s">
        <v>699</v>
      </c>
      <c r="B326" s="8">
        <v>45092</v>
      </c>
      <c r="C326" s="9">
        <v>0.38472222222222224</v>
      </c>
      <c r="D326" t="s">
        <v>700</v>
      </c>
      <c r="E326" t="s">
        <v>46</v>
      </c>
      <c r="F326">
        <v>47</v>
      </c>
      <c r="G326" t="s">
        <v>47</v>
      </c>
      <c r="H326" t="s">
        <v>568</v>
      </c>
      <c r="I326" t="s">
        <v>13</v>
      </c>
      <c r="K326">
        <v>51</v>
      </c>
      <c r="L326" t="s">
        <v>22</v>
      </c>
      <c r="M326" t="s">
        <v>28</v>
      </c>
    </row>
    <row r="327" spans="1:13" x14ac:dyDescent="0.3">
      <c r="A327" t="s">
        <v>701</v>
      </c>
      <c r="B327" s="8">
        <v>45104</v>
      </c>
      <c r="C327" s="9">
        <v>0.48749999999999999</v>
      </c>
      <c r="D327" t="s">
        <v>702</v>
      </c>
      <c r="E327" t="s">
        <v>46</v>
      </c>
      <c r="F327">
        <v>66</v>
      </c>
      <c r="G327" t="s">
        <v>47</v>
      </c>
      <c r="H327" t="s">
        <v>568</v>
      </c>
      <c r="I327" t="s">
        <v>13</v>
      </c>
      <c r="K327">
        <v>45</v>
      </c>
      <c r="L327" t="s">
        <v>24</v>
      </c>
      <c r="M327" t="s">
        <v>28</v>
      </c>
    </row>
    <row r="328" spans="1:13" x14ac:dyDescent="0.3">
      <c r="A328" t="s">
        <v>703</v>
      </c>
      <c r="B328" s="8">
        <v>45078</v>
      </c>
      <c r="C328" s="9">
        <v>0.36249999999999999</v>
      </c>
      <c r="D328" t="s">
        <v>704</v>
      </c>
      <c r="E328" t="s">
        <v>46</v>
      </c>
      <c r="F328">
        <v>66</v>
      </c>
      <c r="G328" t="s">
        <v>47</v>
      </c>
      <c r="H328" t="s">
        <v>568</v>
      </c>
      <c r="I328" t="s">
        <v>13</v>
      </c>
      <c r="K328">
        <v>31</v>
      </c>
      <c r="L328" t="s">
        <v>24</v>
      </c>
      <c r="M328" t="s">
        <v>28</v>
      </c>
    </row>
    <row r="329" spans="1:13" x14ac:dyDescent="0.3">
      <c r="A329" t="s">
        <v>705</v>
      </c>
      <c r="B329" s="8">
        <v>45455</v>
      </c>
      <c r="C329" s="9">
        <v>0.41111111111111109</v>
      </c>
      <c r="D329" t="s">
        <v>706</v>
      </c>
      <c r="E329" t="s">
        <v>46</v>
      </c>
      <c r="F329">
        <v>51</v>
      </c>
      <c r="G329" t="s">
        <v>47</v>
      </c>
      <c r="H329" t="s">
        <v>568</v>
      </c>
      <c r="I329" t="s">
        <v>13</v>
      </c>
      <c r="K329">
        <v>37</v>
      </c>
      <c r="L329" t="s">
        <v>23</v>
      </c>
      <c r="M329" t="s">
        <v>28</v>
      </c>
    </row>
    <row r="330" spans="1:13" x14ac:dyDescent="0.3">
      <c r="A330" t="s">
        <v>707</v>
      </c>
      <c r="B330" s="8">
        <v>45101</v>
      </c>
      <c r="C330" s="9">
        <v>0.25624999999999998</v>
      </c>
      <c r="D330" t="s">
        <v>708</v>
      </c>
      <c r="E330" t="s">
        <v>46</v>
      </c>
      <c r="F330">
        <v>39</v>
      </c>
      <c r="G330" t="s">
        <v>47</v>
      </c>
      <c r="H330" t="s">
        <v>568</v>
      </c>
      <c r="I330" t="s">
        <v>13</v>
      </c>
      <c r="K330">
        <v>37</v>
      </c>
      <c r="L330" t="s">
        <v>21</v>
      </c>
      <c r="M330" t="s">
        <v>28</v>
      </c>
    </row>
    <row r="331" spans="1:13" x14ac:dyDescent="0.3">
      <c r="A331" t="s">
        <v>709</v>
      </c>
      <c r="B331" s="8">
        <v>45461</v>
      </c>
      <c r="C331" s="9">
        <v>0.55833333333333335</v>
      </c>
      <c r="D331" t="s">
        <v>710</v>
      </c>
      <c r="E331" t="s">
        <v>46</v>
      </c>
      <c r="F331">
        <v>74</v>
      </c>
      <c r="G331" t="s">
        <v>47</v>
      </c>
      <c r="H331" t="s">
        <v>568</v>
      </c>
      <c r="I331" t="s">
        <v>13</v>
      </c>
      <c r="K331">
        <v>46</v>
      </c>
      <c r="L331" t="s">
        <v>25</v>
      </c>
      <c r="M331" t="s">
        <v>28</v>
      </c>
    </row>
    <row r="332" spans="1:13" x14ac:dyDescent="0.3">
      <c r="A332" t="s">
        <v>711</v>
      </c>
      <c r="B332" s="8">
        <v>45456</v>
      </c>
      <c r="C332" s="9">
        <v>0.85</v>
      </c>
      <c r="D332" t="s">
        <v>712</v>
      </c>
      <c r="E332" t="s">
        <v>46</v>
      </c>
      <c r="F332">
        <v>75</v>
      </c>
      <c r="G332" t="s">
        <v>47</v>
      </c>
      <c r="H332" t="s">
        <v>568</v>
      </c>
      <c r="I332" t="s">
        <v>13</v>
      </c>
      <c r="K332">
        <v>52</v>
      </c>
      <c r="L332" t="s">
        <v>25</v>
      </c>
      <c r="M332" t="s">
        <v>28</v>
      </c>
    </row>
    <row r="333" spans="1:13" x14ac:dyDescent="0.3">
      <c r="A333" t="s">
        <v>713</v>
      </c>
      <c r="B333" s="8">
        <v>45085</v>
      </c>
      <c r="C333" s="9">
        <v>0.34583333333333333</v>
      </c>
      <c r="D333" t="s">
        <v>714</v>
      </c>
      <c r="E333" t="s">
        <v>46</v>
      </c>
      <c r="F333">
        <v>16</v>
      </c>
      <c r="G333" t="s">
        <v>47</v>
      </c>
      <c r="H333" t="s">
        <v>568</v>
      </c>
      <c r="I333" t="s">
        <v>13</v>
      </c>
      <c r="K333">
        <v>51</v>
      </c>
      <c r="L333" t="s">
        <v>19</v>
      </c>
      <c r="M333" t="s">
        <v>28</v>
      </c>
    </row>
    <row r="334" spans="1:13" x14ac:dyDescent="0.3">
      <c r="A334" t="s">
        <v>715</v>
      </c>
      <c r="B334" s="8">
        <v>45078</v>
      </c>
      <c r="C334" s="9">
        <v>0.93333333333333335</v>
      </c>
      <c r="D334" t="s">
        <v>716</v>
      </c>
      <c r="E334" t="s">
        <v>91</v>
      </c>
      <c r="F334">
        <v>27</v>
      </c>
      <c r="G334" t="s">
        <v>47</v>
      </c>
      <c r="H334" t="s">
        <v>568</v>
      </c>
      <c r="I334" t="s">
        <v>14</v>
      </c>
      <c r="K334">
        <v>46</v>
      </c>
      <c r="L334" t="s">
        <v>20</v>
      </c>
      <c r="M334" t="s">
        <v>28</v>
      </c>
    </row>
    <row r="335" spans="1:13" x14ac:dyDescent="0.3">
      <c r="A335" t="s">
        <v>717</v>
      </c>
      <c r="B335" s="8">
        <v>45449</v>
      </c>
      <c r="C335" s="9">
        <v>0.23819444444444443</v>
      </c>
      <c r="D335" t="s">
        <v>718</v>
      </c>
      <c r="E335" t="s">
        <v>91</v>
      </c>
      <c r="F335">
        <v>69</v>
      </c>
      <c r="G335" t="s">
        <v>47</v>
      </c>
      <c r="H335" t="s">
        <v>568</v>
      </c>
      <c r="I335" t="s">
        <v>14</v>
      </c>
      <c r="K335">
        <v>54</v>
      </c>
      <c r="L335" t="s">
        <v>24</v>
      </c>
      <c r="M335" t="s">
        <v>28</v>
      </c>
    </row>
    <row r="336" spans="1:13" x14ac:dyDescent="0.3">
      <c r="A336" t="s">
        <v>719</v>
      </c>
      <c r="B336" s="8">
        <v>45463</v>
      </c>
      <c r="C336" s="9">
        <v>0.30555555555555558</v>
      </c>
      <c r="D336" t="s">
        <v>720</v>
      </c>
      <c r="E336" t="s">
        <v>91</v>
      </c>
      <c r="F336">
        <v>19</v>
      </c>
      <c r="G336" t="s">
        <v>47</v>
      </c>
      <c r="H336" t="s">
        <v>568</v>
      </c>
      <c r="I336" t="s">
        <v>14</v>
      </c>
      <c r="K336">
        <v>58</v>
      </c>
      <c r="L336" t="s">
        <v>19</v>
      </c>
      <c r="M336" t="s">
        <v>28</v>
      </c>
    </row>
    <row r="337" spans="1:13" x14ac:dyDescent="0.3">
      <c r="A337" t="s">
        <v>721</v>
      </c>
      <c r="B337" s="8">
        <v>45078</v>
      </c>
      <c r="C337" s="9">
        <v>0.77152777777777781</v>
      </c>
      <c r="D337" t="s">
        <v>722</v>
      </c>
      <c r="E337" t="s">
        <v>91</v>
      </c>
      <c r="F337">
        <v>79</v>
      </c>
      <c r="G337" t="s">
        <v>47</v>
      </c>
      <c r="H337" t="s">
        <v>568</v>
      </c>
      <c r="I337" t="s">
        <v>14</v>
      </c>
      <c r="K337">
        <v>44</v>
      </c>
      <c r="L337" t="s">
        <v>25</v>
      </c>
      <c r="M337" t="s">
        <v>28</v>
      </c>
    </row>
    <row r="338" spans="1:13" x14ac:dyDescent="0.3">
      <c r="A338" t="s">
        <v>723</v>
      </c>
      <c r="B338" s="8">
        <v>45079</v>
      </c>
      <c r="C338" s="9">
        <v>0.83958333333333335</v>
      </c>
      <c r="D338" t="s">
        <v>724</v>
      </c>
      <c r="E338" t="s">
        <v>46</v>
      </c>
      <c r="F338">
        <v>21</v>
      </c>
      <c r="G338" t="s">
        <v>47</v>
      </c>
      <c r="H338" t="s">
        <v>568</v>
      </c>
      <c r="I338" t="s">
        <v>14</v>
      </c>
      <c r="K338">
        <v>36</v>
      </c>
      <c r="L338" t="s">
        <v>20</v>
      </c>
      <c r="M338" t="s">
        <v>28</v>
      </c>
    </row>
    <row r="339" spans="1:13" x14ac:dyDescent="0.3">
      <c r="A339" t="s">
        <v>725</v>
      </c>
      <c r="B339" s="8">
        <v>45100</v>
      </c>
      <c r="C339" s="9">
        <v>0.88263888888888886</v>
      </c>
      <c r="D339" t="s">
        <v>726</v>
      </c>
      <c r="E339" t="s">
        <v>46</v>
      </c>
      <c r="F339">
        <v>76</v>
      </c>
      <c r="G339" t="s">
        <v>47</v>
      </c>
      <c r="H339" t="s">
        <v>568</v>
      </c>
      <c r="I339" t="s">
        <v>14</v>
      </c>
      <c r="K339">
        <v>31</v>
      </c>
      <c r="L339" t="s">
        <v>25</v>
      </c>
      <c r="M339" t="s">
        <v>28</v>
      </c>
    </row>
    <row r="340" spans="1:13" x14ac:dyDescent="0.3">
      <c r="A340" t="s">
        <v>727</v>
      </c>
      <c r="B340" s="8">
        <v>45097</v>
      </c>
      <c r="C340" s="9">
        <v>9.583333333333334E-2</v>
      </c>
      <c r="D340" t="s">
        <v>728</v>
      </c>
      <c r="E340" t="s">
        <v>46</v>
      </c>
      <c r="F340">
        <v>75</v>
      </c>
      <c r="G340" t="s">
        <v>47</v>
      </c>
      <c r="H340" t="s">
        <v>568</v>
      </c>
      <c r="I340" t="s">
        <v>14</v>
      </c>
      <c r="K340">
        <v>50</v>
      </c>
      <c r="L340" t="s">
        <v>25</v>
      </c>
      <c r="M340" t="s">
        <v>28</v>
      </c>
    </row>
    <row r="341" spans="1:13" x14ac:dyDescent="0.3">
      <c r="A341" t="s">
        <v>729</v>
      </c>
      <c r="B341" s="8">
        <v>45088</v>
      </c>
      <c r="C341" s="9">
        <v>0.6333333333333333</v>
      </c>
      <c r="D341" t="s">
        <v>730</v>
      </c>
      <c r="E341" t="s">
        <v>46</v>
      </c>
      <c r="F341">
        <v>74</v>
      </c>
      <c r="G341" t="s">
        <v>47</v>
      </c>
      <c r="H341" t="s">
        <v>568</v>
      </c>
      <c r="I341" t="s">
        <v>14</v>
      </c>
      <c r="K341">
        <v>57</v>
      </c>
      <c r="L341" t="s">
        <v>25</v>
      </c>
      <c r="M341" t="s">
        <v>28</v>
      </c>
    </row>
    <row r="342" spans="1:13" x14ac:dyDescent="0.3">
      <c r="A342" t="s">
        <v>731</v>
      </c>
      <c r="B342" s="8">
        <v>45472</v>
      </c>
      <c r="C342" s="9">
        <v>0.6020833333333333</v>
      </c>
      <c r="D342" t="s">
        <v>732</v>
      </c>
      <c r="E342" t="s">
        <v>46</v>
      </c>
      <c r="F342">
        <v>4</v>
      </c>
      <c r="G342" t="s">
        <v>47</v>
      </c>
      <c r="H342" t="s">
        <v>733</v>
      </c>
      <c r="I342" t="s">
        <v>14</v>
      </c>
      <c r="K342">
        <v>59</v>
      </c>
      <c r="L342" t="s">
        <v>18</v>
      </c>
      <c r="M342" t="s">
        <v>28</v>
      </c>
    </row>
    <row r="343" spans="1:13" x14ac:dyDescent="0.3">
      <c r="A343" t="s">
        <v>734</v>
      </c>
      <c r="B343" s="8">
        <v>45101</v>
      </c>
      <c r="C343" s="9">
        <v>0.63472222222222219</v>
      </c>
      <c r="D343" t="s">
        <v>735</v>
      </c>
      <c r="E343" t="s">
        <v>91</v>
      </c>
      <c r="F343">
        <v>35</v>
      </c>
      <c r="G343" t="s">
        <v>47</v>
      </c>
      <c r="H343" t="s">
        <v>733</v>
      </c>
      <c r="I343" t="s">
        <v>14</v>
      </c>
      <c r="K343">
        <v>38</v>
      </c>
      <c r="L343" t="s">
        <v>21</v>
      </c>
      <c r="M343" t="s">
        <v>28</v>
      </c>
    </row>
    <row r="344" spans="1:13" x14ac:dyDescent="0.3">
      <c r="A344" t="s">
        <v>736</v>
      </c>
      <c r="B344" s="8">
        <v>45457</v>
      </c>
      <c r="C344" s="9">
        <v>0.40694444444444444</v>
      </c>
      <c r="D344" t="s">
        <v>737</v>
      </c>
      <c r="E344" t="s">
        <v>91</v>
      </c>
      <c r="F344">
        <v>16</v>
      </c>
      <c r="G344" t="s">
        <v>47</v>
      </c>
      <c r="H344" t="s">
        <v>733</v>
      </c>
      <c r="I344" t="s">
        <v>14</v>
      </c>
      <c r="K344">
        <v>48</v>
      </c>
      <c r="L344" t="s">
        <v>19</v>
      </c>
      <c r="M344" t="s">
        <v>28</v>
      </c>
    </row>
    <row r="345" spans="1:13" x14ac:dyDescent="0.3">
      <c r="A345" t="s">
        <v>738</v>
      </c>
      <c r="B345" s="8">
        <v>45446</v>
      </c>
      <c r="C345" s="9">
        <v>0.96250000000000002</v>
      </c>
      <c r="D345" t="s">
        <v>739</v>
      </c>
      <c r="E345" t="s">
        <v>91</v>
      </c>
      <c r="F345">
        <v>56</v>
      </c>
      <c r="G345" t="s">
        <v>47</v>
      </c>
      <c r="H345" t="s">
        <v>733</v>
      </c>
      <c r="I345" t="s">
        <v>14</v>
      </c>
      <c r="K345">
        <v>40</v>
      </c>
      <c r="L345" t="s">
        <v>23</v>
      </c>
      <c r="M345" t="s">
        <v>28</v>
      </c>
    </row>
    <row r="346" spans="1:13" x14ac:dyDescent="0.3">
      <c r="A346" t="s">
        <v>740</v>
      </c>
      <c r="B346" s="8">
        <v>45106</v>
      </c>
      <c r="C346" s="9">
        <v>0.35555555555555557</v>
      </c>
      <c r="D346" t="s">
        <v>741</v>
      </c>
      <c r="E346" t="s">
        <v>91</v>
      </c>
      <c r="F346">
        <v>12</v>
      </c>
      <c r="G346" t="s">
        <v>47</v>
      </c>
      <c r="H346" t="s">
        <v>733</v>
      </c>
      <c r="I346" t="s">
        <v>14</v>
      </c>
      <c r="K346">
        <v>48</v>
      </c>
      <c r="L346" t="s">
        <v>19</v>
      </c>
      <c r="M346" t="s">
        <v>28</v>
      </c>
    </row>
    <row r="347" spans="1:13" x14ac:dyDescent="0.3">
      <c r="A347" t="s">
        <v>742</v>
      </c>
      <c r="B347" s="8">
        <v>45082</v>
      </c>
      <c r="C347" s="9">
        <v>0.21041666666666667</v>
      </c>
      <c r="D347" t="s">
        <v>743</v>
      </c>
      <c r="E347" t="s">
        <v>91</v>
      </c>
      <c r="F347">
        <v>9</v>
      </c>
      <c r="G347" t="s">
        <v>47</v>
      </c>
      <c r="H347" t="s">
        <v>733</v>
      </c>
      <c r="I347" t="s">
        <v>14</v>
      </c>
      <c r="K347">
        <v>49</v>
      </c>
      <c r="L347" t="s">
        <v>18</v>
      </c>
      <c r="M347" t="s">
        <v>28</v>
      </c>
    </row>
    <row r="348" spans="1:13" x14ac:dyDescent="0.3">
      <c r="A348" t="s">
        <v>744</v>
      </c>
      <c r="B348" s="8">
        <v>45083</v>
      </c>
      <c r="C348" s="9">
        <v>0.23541666666666666</v>
      </c>
      <c r="D348" t="s">
        <v>745</v>
      </c>
      <c r="E348" t="s">
        <v>46</v>
      </c>
      <c r="F348">
        <v>56</v>
      </c>
      <c r="G348" t="s">
        <v>47</v>
      </c>
      <c r="H348" t="s">
        <v>733</v>
      </c>
      <c r="I348" t="s">
        <v>14</v>
      </c>
      <c r="K348">
        <v>54</v>
      </c>
      <c r="L348" t="s">
        <v>23</v>
      </c>
      <c r="M348" t="s">
        <v>28</v>
      </c>
    </row>
    <row r="349" spans="1:13" x14ac:dyDescent="0.3">
      <c r="A349" t="s">
        <v>746</v>
      </c>
      <c r="B349" s="8">
        <v>45101</v>
      </c>
      <c r="C349" s="9">
        <v>0.72152777777777777</v>
      </c>
      <c r="D349" t="s">
        <v>747</v>
      </c>
      <c r="E349" t="s">
        <v>46</v>
      </c>
      <c r="F349">
        <v>12</v>
      </c>
      <c r="G349" t="s">
        <v>47</v>
      </c>
      <c r="H349" t="s">
        <v>733</v>
      </c>
      <c r="I349" t="s">
        <v>14</v>
      </c>
      <c r="K349">
        <v>36</v>
      </c>
      <c r="L349" t="s">
        <v>19</v>
      </c>
      <c r="M349" t="s">
        <v>28</v>
      </c>
    </row>
    <row r="350" spans="1:13" x14ac:dyDescent="0.3">
      <c r="A350" t="s">
        <v>748</v>
      </c>
      <c r="B350" s="8">
        <v>45107</v>
      </c>
      <c r="C350" s="9">
        <v>0.94305555555555554</v>
      </c>
      <c r="D350" t="s">
        <v>749</v>
      </c>
      <c r="E350" t="s">
        <v>46</v>
      </c>
      <c r="F350">
        <v>35</v>
      </c>
      <c r="G350" t="s">
        <v>47</v>
      </c>
      <c r="H350" t="s">
        <v>733</v>
      </c>
      <c r="I350" t="s">
        <v>13</v>
      </c>
      <c r="K350">
        <v>40</v>
      </c>
      <c r="L350" t="s">
        <v>21</v>
      </c>
      <c r="M350" t="s">
        <v>28</v>
      </c>
    </row>
    <row r="351" spans="1:13" x14ac:dyDescent="0.3">
      <c r="A351" t="s">
        <v>750</v>
      </c>
      <c r="B351" s="8">
        <v>45453</v>
      </c>
      <c r="C351" s="9">
        <v>0.40555555555555556</v>
      </c>
      <c r="D351" t="s">
        <v>751</v>
      </c>
      <c r="E351" t="s">
        <v>46</v>
      </c>
      <c r="F351">
        <v>26</v>
      </c>
      <c r="G351" t="s">
        <v>47</v>
      </c>
      <c r="H351" t="s">
        <v>733</v>
      </c>
      <c r="I351" t="s">
        <v>13</v>
      </c>
      <c r="K351">
        <v>53</v>
      </c>
      <c r="L351" t="s">
        <v>20</v>
      </c>
      <c r="M351" t="s">
        <v>28</v>
      </c>
    </row>
    <row r="352" spans="1:13" x14ac:dyDescent="0.3">
      <c r="A352" t="s">
        <v>752</v>
      </c>
      <c r="B352" s="8">
        <v>45082</v>
      </c>
      <c r="C352" s="9">
        <v>0.12291666666666666</v>
      </c>
      <c r="D352" t="s">
        <v>753</v>
      </c>
      <c r="E352" t="s">
        <v>91</v>
      </c>
      <c r="F352">
        <v>19</v>
      </c>
      <c r="G352" t="s">
        <v>47</v>
      </c>
      <c r="H352" t="s">
        <v>733</v>
      </c>
      <c r="I352" t="s">
        <v>13</v>
      </c>
      <c r="K352">
        <v>41</v>
      </c>
      <c r="L352" t="s">
        <v>19</v>
      </c>
      <c r="M352" t="s">
        <v>28</v>
      </c>
    </row>
    <row r="353" spans="1:13" x14ac:dyDescent="0.3">
      <c r="A353" t="s">
        <v>754</v>
      </c>
      <c r="B353" s="8">
        <v>45470</v>
      </c>
      <c r="C353" s="9">
        <v>0.43541666666666667</v>
      </c>
      <c r="D353" t="s">
        <v>755</v>
      </c>
      <c r="E353" t="s">
        <v>91</v>
      </c>
      <c r="F353">
        <v>34</v>
      </c>
      <c r="G353" t="s">
        <v>47</v>
      </c>
      <c r="H353" t="s">
        <v>733</v>
      </c>
      <c r="I353" t="s">
        <v>13</v>
      </c>
      <c r="K353">
        <v>43</v>
      </c>
      <c r="L353" t="s">
        <v>21</v>
      </c>
      <c r="M353" t="s">
        <v>28</v>
      </c>
    </row>
    <row r="354" spans="1:13" x14ac:dyDescent="0.3">
      <c r="A354" t="s">
        <v>756</v>
      </c>
      <c r="B354" s="8">
        <v>45449</v>
      </c>
      <c r="C354" s="9">
        <v>0.84652777777777777</v>
      </c>
      <c r="D354" t="s">
        <v>757</v>
      </c>
      <c r="E354" t="s">
        <v>91</v>
      </c>
      <c r="F354">
        <v>12</v>
      </c>
      <c r="G354" t="s">
        <v>47</v>
      </c>
      <c r="H354" t="s">
        <v>733</v>
      </c>
      <c r="I354" t="s">
        <v>13</v>
      </c>
      <c r="K354">
        <v>60</v>
      </c>
      <c r="L354" t="s">
        <v>19</v>
      </c>
      <c r="M354" t="s">
        <v>28</v>
      </c>
    </row>
    <row r="355" spans="1:13" x14ac:dyDescent="0.3">
      <c r="A355" t="s">
        <v>758</v>
      </c>
      <c r="B355" s="8">
        <v>45088</v>
      </c>
      <c r="C355" s="9">
        <v>0.98541666666666672</v>
      </c>
      <c r="D355" t="s">
        <v>759</v>
      </c>
      <c r="E355" t="s">
        <v>46</v>
      </c>
      <c r="F355">
        <v>26</v>
      </c>
      <c r="G355" t="s">
        <v>47</v>
      </c>
      <c r="H355" t="s">
        <v>733</v>
      </c>
      <c r="I355" t="s">
        <v>13</v>
      </c>
      <c r="K355">
        <v>42</v>
      </c>
      <c r="L355" t="s">
        <v>20</v>
      </c>
      <c r="M355" t="s">
        <v>28</v>
      </c>
    </row>
    <row r="356" spans="1:13" x14ac:dyDescent="0.3">
      <c r="A356" t="s">
        <v>760</v>
      </c>
      <c r="B356" s="8">
        <v>45470</v>
      </c>
      <c r="C356" s="9">
        <v>0.71666666666666667</v>
      </c>
      <c r="D356" t="s">
        <v>761</v>
      </c>
      <c r="E356" t="s">
        <v>46</v>
      </c>
      <c r="F356">
        <v>42</v>
      </c>
      <c r="G356" t="s">
        <v>192</v>
      </c>
      <c r="H356" t="s">
        <v>733</v>
      </c>
      <c r="I356" t="s">
        <v>14</v>
      </c>
      <c r="K356">
        <v>39</v>
      </c>
      <c r="L356" t="s">
        <v>22</v>
      </c>
      <c r="M356" t="s">
        <v>28</v>
      </c>
    </row>
    <row r="357" spans="1:13" x14ac:dyDescent="0.3">
      <c r="A357" t="s">
        <v>762</v>
      </c>
      <c r="B357" s="8">
        <v>45097</v>
      </c>
      <c r="C357" s="9">
        <v>2.0833333333333333E-3</v>
      </c>
      <c r="D357" t="s">
        <v>763</v>
      </c>
      <c r="E357" t="s">
        <v>46</v>
      </c>
      <c r="F357">
        <v>29</v>
      </c>
      <c r="G357" t="s">
        <v>192</v>
      </c>
      <c r="H357" t="s">
        <v>733</v>
      </c>
      <c r="I357" t="s">
        <v>14</v>
      </c>
      <c r="K357">
        <v>46</v>
      </c>
      <c r="L357" t="s">
        <v>20</v>
      </c>
      <c r="M357" t="s">
        <v>28</v>
      </c>
    </row>
    <row r="358" spans="1:13" x14ac:dyDescent="0.3">
      <c r="A358" t="s">
        <v>764</v>
      </c>
      <c r="B358" s="8">
        <v>45099</v>
      </c>
      <c r="C358" s="9">
        <v>0.12291666666666666</v>
      </c>
      <c r="D358" t="s">
        <v>765</v>
      </c>
      <c r="E358" t="s">
        <v>46</v>
      </c>
      <c r="F358">
        <v>50</v>
      </c>
      <c r="G358" t="s">
        <v>192</v>
      </c>
      <c r="H358" t="s">
        <v>733</v>
      </c>
      <c r="I358" t="s">
        <v>13</v>
      </c>
      <c r="K358">
        <v>51</v>
      </c>
      <c r="L358" t="s">
        <v>22</v>
      </c>
      <c r="M358" t="s">
        <v>28</v>
      </c>
    </row>
    <row r="359" spans="1:13" x14ac:dyDescent="0.3">
      <c r="A359" t="s">
        <v>766</v>
      </c>
      <c r="B359" s="8">
        <v>45085</v>
      </c>
      <c r="C359" s="9">
        <v>0.66111111111111109</v>
      </c>
      <c r="D359" t="s">
        <v>767</v>
      </c>
      <c r="E359" t="s">
        <v>46</v>
      </c>
      <c r="F359">
        <v>57</v>
      </c>
      <c r="G359" t="s">
        <v>192</v>
      </c>
      <c r="H359" t="s">
        <v>733</v>
      </c>
      <c r="I359" t="s">
        <v>13</v>
      </c>
      <c r="K359">
        <v>36</v>
      </c>
      <c r="L359" t="s">
        <v>23</v>
      </c>
      <c r="M359" t="s">
        <v>28</v>
      </c>
    </row>
    <row r="360" spans="1:13" x14ac:dyDescent="0.3">
      <c r="A360" t="s">
        <v>768</v>
      </c>
      <c r="B360" s="8">
        <v>45470</v>
      </c>
      <c r="C360" s="9">
        <v>0.26458333333333334</v>
      </c>
      <c r="D360" t="s">
        <v>769</v>
      </c>
      <c r="E360" t="s">
        <v>91</v>
      </c>
      <c r="F360">
        <v>48</v>
      </c>
      <c r="G360" t="s">
        <v>192</v>
      </c>
      <c r="H360" t="s">
        <v>733</v>
      </c>
      <c r="I360" t="s">
        <v>14</v>
      </c>
      <c r="K360">
        <v>54</v>
      </c>
      <c r="L360" t="s">
        <v>22</v>
      </c>
      <c r="M360" t="s">
        <v>28</v>
      </c>
    </row>
    <row r="361" spans="1:13" x14ac:dyDescent="0.3">
      <c r="A361" t="s">
        <v>770</v>
      </c>
      <c r="B361" s="8">
        <v>45078</v>
      </c>
      <c r="C361" s="9">
        <v>0.82361111111111107</v>
      </c>
      <c r="D361" t="s">
        <v>771</v>
      </c>
      <c r="E361" t="s">
        <v>91</v>
      </c>
      <c r="F361">
        <v>60</v>
      </c>
      <c r="G361" t="s">
        <v>192</v>
      </c>
      <c r="H361" t="s">
        <v>733</v>
      </c>
      <c r="I361" t="s">
        <v>14</v>
      </c>
      <c r="K361">
        <v>58</v>
      </c>
      <c r="L361" t="s">
        <v>23</v>
      </c>
      <c r="M361" t="s">
        <v>28</v>
      </c>
    </row>
    <row r="362" spans="1:13" x14ac:dyDescent="0.3">
      <c r="A362" t="s">
        <v>772</v>
      </c>
      <c r="B362" s="8">
        <v>45086</v>
      </c>
      <c r="C362" s="9">
        <v>0.21041666666666667</v>
      </c>
      <c r="D362" t="s">
        <v>773</v>
      </c>
      <c r="E362" t="s">
        <v>91</v>
      </c>
      <c r="F362">
        <v>10</v>
      </c>
      <c r="G362" t="s">
        <v>192</v>
      </c>
      <c r="H362" t="s">
        <v>733</v>
      </c>
      <c r="I362" t="s">
        <v>14</v>
      </c>
      <c r="K362">
        <v>46</v>
      </c>
      <c r="L362" t="s">
        <v>18</v>
      </c>
      <c r="M362" t="s">
        <v>28</v>
      </c>
    </row>
    <row r="363" spans="1:13" x14ac:dyDescent="0.3">
      <c r="A363" t="s">
        <v>774</v>
      </c>
      <c r="B363" s="8">
        <v>45446</v>
      </c>
      <c r="C363" s="9">
        <v>0.18055555555555555</v>
      </c>
      <c r="D363" t="s">
        <v>775</v>
      </c>
      <c r="E363" t="s">
        <v>91</v>
      </c>
      <c r="F363">
        <v>64</v>
      </c>
      <c r="G363" t="s">
        <v>192</v>
      </c>
      <c r="H363" t="s">
        <v>733</v>
      </c>
      <c r="I363" t="s">
        <v>14</v>
      </c>
      <c r="K363">
        <v>43</v>
      </c>
      <c r="L363" t="s">
        <v>24</v>
      </c>
      <c r="M363" t="s">
        <v>28</v>
      </c>
    </row>
    <row r="364" spans="1:13" x14ac:dyDescent="0.3">
      <c r="A364" t="s">
        <v>776</v>
      </c>
      <c r="B364" s="8">
        <v>45473</v>
      </c>
      <c r="C364" s="9">
        <v>0.37986111111111109</v>
      </c>
      <c r="D364" t="s">
        <v>777</v>
      </c>
      <c r="E364" t="s">
        <v>91</v>
      </c>
      <c r="F364">
        <v>14</v>
      </c>
      <c r="G364" t="s">
        <v>192</v>
      </c>
      <c r="H364" t="s">
        <v>733</v>
      </c>
      <c r="I364" t="s">
        <v>13</v>
      </c>
      <c r="K364">
        <v>60</v>
      </c>
      <c r="L364" t="s">
        <v>19</v>
      </c>
      <c r="M364" t="s">
        <v>28</v>
      </c>
    </row>
    <row r="365" spans="1:13" x14ac:dyDescent="0.3">
      <c r="A365" t="s">
        <v>778</v>
      </c>
      <c r="B365" s="8">
        <v>45102</v>
      </c>
      <c r="C365" s="9">
        <v>0.72013888888888888</v>
      </c>
      <c r="D365" t="s">
        <v>779</v>
      </c>
      <c r="E365" t="s">
        <v>91</v>
      </c>
      <c r="F365">
        <v>9</v>
      </c>
      <c r="G365" t="s">
        <v>192</v>
      </c>
      <c r="H365" t="s">
        <v>733</v>
      </c>
      <c r="I365" t="s">
        <v>13</v>
      </c>
      <c r="K365">
        <v>56</v>
      </c>
      <c r="L365" t="s">
        <v>18</v>
      </c>
      <c r="M365" t="s">
        <v>28</v>
      </c>
    </row>
    <row r="366" spans="1:13" x14ac:dyDescent="0.3">
      <c r="A366" t="s">
        <v>780</v>
      </c>
      <c r="B366" s="8">
        <v>45080</v>
      </c>
      <c r="C366" s="9">
        <v>0.60902777777777772</v>
      </c>
      <c r="D366" t="s">
        <v>781</v>
      </c>
      <c r="E366" t="s">
        <v>46</v>
      </c>
      <c r="F366">
        <v>10</v>
      </c>
      <c r="G366" t="s">
        <v>297</v>
      </c>
      <c r="H366" t="s">
        <v>733</v>
      </c>
      <c r="I366" t="s">
        <v>13</v>
      </c>
      <c r="K366">
        <v>43</v>
      </c>
      <c r="L366" t="s">
        <v>18</v>
      </c>
      <c r="M366" t="s">
        <v>28</v>
      </c>
    </row>
    <row r="367" spans="1:13" x14ac:dyDescent="0.3">
      <c r="A367" t="s">
        <v>782</v>
      </c>
      <c r="B367" s="8">
        <v>45444</v>
      </c>
      <c r="C367" s="9">
        <v>0.24861111111111112</v>
      </c>
      <c r="D367" t="s">
        <v>783</v>
      </c>
      <c r="E367" t="s">
        <v>91</v>
      </c>
      <c r="F367">
        <v>38</v>
      </c>
      <c r="G367" t="s">
        <v>297</v>
      </c>
      <c r="H367" t="s">
        <v>733</v>
      </c>
      <c r="I367" t="s">
        <v>14</v>
      </c>
      <c r="K367">
        <v>56</v>
      </c>
      <c r="L367" t="s">
        <v>21</v>
      </c>
      <c r="M367" t="s">
        <v>28</v>
      </c>
    </row>
    <row r="368" spans="1:13" x14ac:dyDescent="0.3">
      <c r="A368" t="s">
        <v>784</v>
      </c>
      <c r="B368" s="8">
        <v>45462</v>
      </c>
      <c r="C368" s="9">
        <v>0.3576388888888889</v>
      </c>
      <c r="D368" t="s">
        <v>785</v>
      </c>
      <c r="E368" t="s">
        <v>91</v>
      </c>
      <c r="F368">
        <v>78</v>
      </c>
      <c r="G368" t="s">
        <v>297</v>
      </c>
      <c r="H368" t="s">
        <v>733</v>
      </c>
      <c r="I368" t="s">
        <v>14</v>
      </c>
      <c r="K368">
        <v>47</v>
      </c>
      <c r="L368" t="s">
        <v>25</v>
      </c>
      <c r="M368" t="s">
        <v>28</v>
      </c>
    </row>
    <row r="369" spans="1:13" x14ac:dyDescent="0.3">
      <c r="A369" t="s">
        <v>786</v>
      </c>
      <c r="B369" s="8">
        <v>45107</v>
      </c>
      <c r="C369" s="9">
        <v>0.12430555555555556</v>
      </c>
      <c r="D369" t="s">
        <v>787</v>
      </c>
      <c r="E369" t="s">
        <v>46</v>
      </c>
      <c r="F369">
        <v>62</v>
      </c>
      <c r="G369" t="s">
        <v>297</v>
      </c>
      <c r="H369" t="s">
        <v>733</v>
      </c>
      <c r="I369" t="s">
        <v>14</v>
      </c>
      <c r="K369">
        <v>47</v>
      </c>
      <c r="L369" t="s">
        <v>24</v>
      </c>
      <c r="M369" t="s">
        <v>28</v>
      </c>
    </row>
    <row r="370" spans="1:13" x14ac:dyDescent="0.3">
      <c r="A370" t="s">
        <v>788</v>
      </c>
      <c r="B370" s="8">
        <v>45467</v>
      </c>
      <c r="C370" s="9">
        <v>0.98333333333333328</v>
      </c>
      <c r="D370" t="s">
        <v>789</v>
      </c>
      <c r="E370" t="s">
        <v>46</v>
      </c>
      <c r="F370">
        <v>49</v>
      </c>
      <c r="G370" t="s">
        <v>297</v>
      </c>
      <c r="H370" t="s">
        <v>733</v>
      </c>
      <c r="I370" t="s">
        <v>13</v>
      </c>
      <c r="K370">
        <v>60</v>
      </c>
      <c r="L370" t="s">
        <v>22</v>
      </c>
      <c r="M370" t="s">
        <v>28</v>
      </c>
    </row>
    <row r="371" spans="1:13" x14ac:dyDescent="0.3">
      <c r="A371" t="s">
        <v>790</v>
      </c>
      <c r="B371" s="8">
        <v>45092</v>
      </c>
      <c r="C371" s="9">
        <v>0.65</v>
      </c>
      <c r="D371" t="s">
        <v>791</v>
      </c>
      <c r="E371" t="s">
        <v>91</v>
      </c>
      <c r="F371">
        <v>19</v>
      </c>
      <c r="G371" t="s">
        <v>451</v>
      </c>
      <c r="H371" t="s">
        <v>733</v>
      </c>
      <c r="I371" t="s">
        <v>14</v>
      </c>
      <c r="K371">
        <v>39</v>
      </c>
      <c r="L371" t="s">
        <v>19</v>
      </c>
      <c r="M371" t="s">
        <v>28</v>
      </c>
    </row>
    <row r="372" spans="1:13" x14ac:dyDescent="0.3">
      <c r="A372" t="s">
        <v>792</v>
      </c>
      <c r="B372" s="8">
        <v>45465</v>
      </c>
      <c r="C372" s="9">
        <v>0.9819444444444444</v>
      </c>
      <c r="D372" t="s">
        <v>793</v>
      </c>
      <c r="E372" t="s">
        <v>91</v>
      </c>
      <c r="F372">
        <v>12</v>
      </c>
      <c r="G372" t="s">
        <v>451</v>
      </c>
      <c r="H372" t="s">
        <v>733</v>
      </c>
      <c r="I372" t="s">
        <v>14</v>
      </c>
      <c r="K372">
        <v>56</v>
      </c>
      <c r="L372" t="s">
        <v>19</v>
      </c>
      <c r="M372" t="s">
        <v>28</v>
      </c>
    </row>
    <row r="373" spans="1:13" x14ac:dyDescent="0.3">
      <c r="A373" t="s">
        <v>794</v>
      </c>
      <c r="B373" s="8">
        <v>45444</v>
      </c>
      <c r="C373" s="9">
        <v>0.76180555555555551</v>
      </c>
      <c r="D373" t="s">
        <v>795</v>
      </c>
      <c r="E373" t="s">
        <v>91</v>
      </c>
      <c r="F373">
        <v>24</v>
      </c>
      <c r="G373" t="s">
        <v>451</v>
      </c>
      <c r="H373" t="s">
        <v>733</v>
      </c>
      <c r="I373" t="s">
        <v>13</v>
      </c>
      <c r="K373">
        <v>48</v>
      </c>
      <c r="L373" t="s">
        <v>20</v>
      </c>
      <c r="M373" t="s">
        <v>28</v>
      </c>
    </row>
    <row r="374" spans="1:13" x14ac:dyDescent="0.3">
      <c r="A374" t="s">
        <v>796</v>
      </c>
      <c r="B374" s="8">
        <v>45458</v>
      </c>
      <c r="C374" s="9">
        <v>0.75277777777777777</v>
      </c>
      <c r="D374" t="s">
        <v>797</v>
      </c>
      <c r="E374" t="s">
        <v>46</v>
      </c>
      <c r="F374">
        <v>12</v>
      </c>
      <c r="G374" t="s">
        <v>451</v>
      </c>
      <c r="H374" t="s">
        <v>733</v>
      </c>
      <c r="I374" t="s">
        <v>13</v>
      </c>
      <c r="K374">
        <v>52</v>
      </c>
      <c r="L374" t="s">
        <v>19</v>
      </c>
      <c r="M374" t="s">
        <v>28</v>
      </c>
    </row>
    <row r="375" spans="1:13" x14ac:dyDescent="0.3">
      <c r="A375" t="s">
        <v>798</v>
      </c>
      <c r="B375" s="8">
        <v>45453</v>
      </c>
      <c r="C375" s="9">
        <v>9.7916666666666666E-2</v>
      </c>
      <c r="D375" t="s">
        <v>799</v>
      </c>
      <c r="E375" t="s">
        <v>46</v>
      </c>
      <c r="F375">
        <v>51</v>
      </c>
      <c r="G375" t="s">
        <v>451</v>
      </c>
      <c r="H375" t="s">
        <v>733</v>
      </c>
      <c r="I375" t="s">
        <v>13</v>
      </c>
      <c r="K375">
        <v>40</v>
      </c>
      <c r="L375" t="s">
        <v>23</v>
      </c>
      <c r="M375" t="s">
        <v>28</v>
      </c>
    </row>
    <row r="376" spans="1:13" x14ac:dyDescent="0.3">
      <c r="A376" t="s">
        <v>800</v>
      </c>
      <c r="B376" s="8">
        <v>45080</v>
      </c>
      <c r="C376" s="9">
        <v>0.31111111111111112</v>
      </c>
      <c r="D376" t="s">
        <v>801</v>
      </c>
      <c r="E376" t="s">
        <v>46</v>
      </c>
      <c r="F376">
        <v>28</v>
      </c>
      <c r="G376" t="s">
        <v>376</v>
      </c>
      <c r="H376" t="s">
        <v>733</v>
      </c>
      <c r="I376" t="s">
        <v>13</v>
      </c>
      <c r="K376">
        <v>37</v>
      </c>
      <c r="L376" t="s">
        <v>20</v>
      </c>
      <c r="M376" t="s">
        <v>28</v>
      </c>
    </row>
    <row r="377" spans="1:13" x14ac:dyDescent="0.3">
      <c r="A377" t="s">
        <v>802</v>
      </c>
      <c r="B377" s="8">
        <v>45085</v>
      </c>
      <c r="C377" s="9">
        <v>0.85624999999999996</v>
      </c>
      <c r="D377" t="s">
        <v>803</v>
      </c>
      <c r="E377" t="s">
        <v>91</v>
      </c>
      <c r="F377">
        <v>41</v>
      </c>
      <c r="G377" t="s">
        <v>376</v>
      </c>
      <c r="H377" t="s">
        <v>733</v>
      </c>
      <c r="I377" t="s">
        <v>14</v>
      </c>
      <c r="K377">
        <v>35</v>
      </c>
      <c r="L377" t="s">
        <v>22</v>
      </c>
      <c r="M377" t="s">
        <v>28</v>
      </c>
    </row>
    <row r="378" spans="1:13" x14ac:dyDescent="0.3">
      <c r="A378" t="s">
        <v>804</v>
      </c>
      <c r="B378" s="8">
        <v>45090</v>
      </c>
      <c r="C378" s="9">
        <v>5.6944444444444443E-2</v>
      </c>
      <c r="D378" t="s">
        <v>805</v>
      </c>
      <c r="E378" t="s">
        <v>91</v>
      </c>
      <c r="F378">
        <v>77</v>
      </c>
      <c r="G378" t="s">
        <v>376</v>
      </c>
      <c r="H378" t="s">
        <v>733</v>
      </c>
      <c r="I378" t="s">
        <v>13</v>
      </c>
      <c r="K378">
        <v>54</v>
      </c>
      <c r="L378" t="s">
        <v>25</v>
      </c>
      <c r="M378" t="s">
        <v>28</v>
      </c>
    </row>
    <row r="379" spans="1:13" x14ac:dyDescent="0.3">
      <c r="A379" t="s">
        <v>806</v>
      </c>
      <c r="B379" s="8">
        <v>45455</v>
      </c>
      <c r="C379" s="9">
        <v>0.74722222222222223</v>
      </c>
      <c r="D379" t="s">
        <v>807</v>
      </c>
      <c r="E379" t="s">
        <v>46</v>
      </c>
      <c r="F379">
        <v>54</v>
      </c>
      <c r="G379" t="s">
        <v>376</v>
      </c>
      <c r="H379" t="s">
        <v>733</v>
      </c>
      <c r="I379" t="s">
        <v>13</v>
      </c>
      <c r="K379">
        <v>57</v>
      </c>
      <c r="L379" t="s">
        <v>23</v>
      </c>
      <c r="M379" t="s">
        <v>28</v>
      </c>
    </row>
    <row r="380" spans="1:13" x14ac:dyDescent="0.3">
      <c r="A380" t="s">
        <v>808</v>
      </c>
      <c r="B380" s="8">
        <v>45445</v>
      </c>
      <c r="C380" s="9">
        <v>0.96388888888888891</v>
      </c>
      <c r="D380" t="s">
        <v>809</v>
      </c>
      <c r="E380" t="s">
        <v>46</v>
      </c>
      <c r="F380">
        <v>64</v>
      </c>
      <c r="G380" t="s">
        <v>376</v>
      </c>
      <c r="H380" t="s">
        <v>733</v>
      </c>
      <c r="I380" t="s">
        <v>13</v>
      </c>
      <c r="K380">
        <v>44</v>
      </c>
      <c r="L380" t="s">
        <v>24</v>
      </c>
      <c r="M380" t="s">
        <v>28</v>
      </c>
    </row>
    <row r="381" spans="1:13" x14ac:dyDescent="0.3">
      <c r="A381" t="s">
        <v>810</v>
      </c>
      <c r="B381" s="8">
        <v>45472</v>
      </c>
      <c r="C381" s="9">
        <v>0.13125000000000001</v>
      </c>
      <c r="D381" t="s">
        <v>811</v>
      </c>
      <c r="E381" t="s">
        <v>91</v>
      </c>
      <c r="F381">
        <v>60</v>
      </c>
      <c r="G381" t="s">
        <v>547</v>
      </c>
      <c r="H381" t="s">
        <v>733</v>
      </c>
      <c r="I381" t="s">
        <v>14</v>
      </c>
      <c r="K381">
        <v>58</v>
      </c>
      <c r="L381" t="s">
        <v>23</v>
      </c>
      <c r="M381" t="s">
        <v>28</v>
      </c>
    </row>
    <row r="382" spans="1:13" x14ac:dyDescent="0.3">
      <c r="A382" t="s">
        <v>812</v>
      </c>
      <c r="B382" s="8">
        <v>45098</v>
      </c>
      <c r="C382" s="9">
        <v>0.52222222222222225</v>
      </c>
      <c r="D382" t="s">
        <v>813</v>
      </c>
      <c r="E382" t="s">
        <v>91</v>
      </c>
      <c r="F382">
        <v>18</v>
      </c>
      <c r="G382" t="s">
        <v>520</v>
      </c>
      <c r="H382" t="s">
        <v>733</v>
      </c>
      <c r="I382" t="s">
        <v>14</v>
      </c>
      <c r="K382">
        <v>33</v>
      </c>
      <c r="L382" t="s">
        <v>19</v>
      </c>
      <c r="M382" t="s">
        <v>28</v>
      </c>
    </row>
    <row r="383" spans="1:13" x14ac:dyDescent="0.3">
      <c r="A383" t="s">
        <v>814</v>
      </c>
      <c r="B383" s="8">
        <v>45101</v>
      </c>
      <c r="C383" s="9">
        <v>0.59930555555555554</v>
      </c>
      <c r="D383" t="s">
        <v>815</v>
      </c>
      <c r="E383" t="s">
        <v>91</v>
      </c>
      <c r="F383">
        <v>53</v>
      </c>
      <c r="G383" t="s">
        <v>520</v>
      </c>
      <c r="H383" t="s">
        <v>733</v>
      </c>
      <c r="I383" t="s">
        <v>13</v>
      </c>
      <c r="K383">
        <v>40</v>
      </c>
      <c r="L383" t="s">
        <v>23</v>
      </c>
      <c r="M383" t="s">
        <v>28</v>
      </c>
    </row>
    <row r="384" spans="1:13" x14ac:dyDescent="0.3">
      <c r="A384" t="s">
        <v>816</v>
      </c>
      <c r="B384" s="8">
        <v>45460</v>
      </c>
      <c r="C384" s="9">
        <v>8.4722222222222227E-2</v>
      </c>
      <c r="D384" t="s">
        <v>817</v>
      </c>
      <c r="E384" t="s">
        <v>46</v>
      </c>
      <c r="F384">
        <v>54</v>
      </c>
      <c r="G384" t="s">
        <v>547</v>
      </c>
      <c r="H384" t="s">
        <v>733</v>
      </c>
      <c r="I384" t="s">
        <v>13</v>
      </c>
      <c r="K384">
        <v>47</v>
      </c>
      <c r="L384" t="s">
        <v>23</v>
      </c>
      <c r="M384" t="s">
        <v>28</v>
      </c>
    </row>
    <row r="385" spans="1:13" x14ac:dyDescent="0.3">
      <c r="A385" t="s">
        <v>818</v>
      </c>
      <c r="B385" s="8">
        <v>45080</v>
      </c>
      <c r="C385" s="9">
        <v>0.1361111111111111</v>
      </c>
      <c r="D385" t="s">
        <v>819</v>
      </c>
      <c r="E385" t="s">
        <v>46</v>
      </c>
      <c r="F385">
        <v>28</v>
      </c>
      <c r="G385" t="s">
        <v>520</v>
      </c>
      <c r="H385" t="s">
        <v>733</v>
      </c>
      <c r="I385" t="s">
        <v>13</v>
      </c>
      <c r="K385">
        <v>46</v>
      </c>
      <c r="L385" t="s">
        <v>20</v>
      </c>
      <c r="M385" t="s">
        <v>28</v>
      </c>
    </row>
    <row r="386" spans="1:13" x14ac:dyDescent="0.3">
      <c r="A386" t="s">
        <v>820</v>
      </c>
      <c r="B386" s="8">
        <v>45473</v>
      </c>
      <c r="C386" s="9">
        <v>0.55694444444444446</v>
      </c>
      <c r="D386" t="s">
        <v>821</v>
      </c>
      <c r="E386" t="s">
        <v>91</v>
      </c>
      <c r="F386">
        <v>22</v>
      </c>
      <c r="G386" t="s">
        <v>192</v>
      </c>
      <c r="H386" t="s">
        <v>822</v>
      </c>
      <c r="I386" t="s">
        <v>14</v>
      </c>
      <c r="K386">
        <v>46</v>
      </c>
      <c r="L386" t="s">
        <v>20</v>
      </c>
      <c r="M386" t="s">
        <v>28</v>
      </c>
    </row>
    <row r="387" spans="1:13" x14ac:dyDescent="0.3">
      <c r="A387" t="s">
        <v>823</v>
      </c>
      <c r="B387" s="8">
        <v>45471</v>
      </c>
      <c r="C387" s="9">
        <v>0.63194444444444442</v>
      </c>
      <c r="D387" t="s">
        <v>824</v>
      </c>
      <c r="E387" t="s">
        <v>91</v>
      </c>
      <c r="F387">
        <v>1</v>
      </c>
      <c r="G387" t="s">
        <v>451</v>
      </c>
      <c r="H387" t="s">
        <v>822</v>
      </c>
      <c r="I387" t="s">
        <v>14</v>
      </c>
      <c r="K387">
        <v>32</v>
      </c>
      <c r="L387" t="s">
        <v>18</v>
      </c>
      <c r="M387" t="s">
        <v>28</v>
      </c>
    </row>
    <row r="388" spans="1:13" x14ac:dyDescent="0.3">
      <c r="A388" t="s">
        <v>825</v>
      </c>
      <c r="B388" s="8">
        <v>45098</v>
      </c>
      <c r="C388" s="9">
        <v>2.0833333333333333E-3</v>
      </c>
      <c r="D388" t="s">
        <v>826</v>
      </c>
      <c r="E388" t="s">
        <v>91</v>
      </c>
      <c r="F388">
        <v>57</v>
      </c>
      <c r="G388" t="s">
        <v>47</v>
      </c>
      <c r="H388" t="s">
        <v>822</v>
      </c>
      <c r="I388" t="s">
        <v>14</v>
      </c>
      <c r="K388">
        <v>59</v>
      </c>
      <c r="L388" t="s">
        <v>23</v>
      </c>
      <c r="M388" t="s">
        <v>28</v>
      </c>
    </row>
    <row r="389" spans="1:13" x14ac:dyDescent="0.3">
      <c r="A389" t="s">
        <v>827</v>
      </c>
      <c r="B389" s="8">
        <v>45104</v>
      </c>
      <c r="C389" s="9">
        <v>0.89722222222222225</v>
      </c>
      <c r="D389" t="s">
        <v>828</v>
      </c>
      <c r="E389" t="s">
        <v>46</v>
      </c>
      <c r="F389">
        <v>9</v>
      </c>
      <c r="G389" t="s">
        <v>192</v>
      </c>
      <c r="H389" t="s">
        <v>822</v>
      </c>
      <c r="I389" t="s">
        <v>14</v>
      </c>
      <c r="K389">
        <v>54</v>
      </c>
      <c r="L389" t="s">
        <v>18</v>
      </c>
      <c r="M389" t="s">
        <v>28</v>
      </c>
    </row>
    <row r="390" spans="1:13" x14ac:dyDescent="0.3">
      <c r="A390" t="s">
        <v>829</v>
      </c>
      <c r="B390" s="8">
        <v>45465</v>
      </c>
      <c r="C390" s="9">
        <v>0.73611111111111116</v>
      </c>
      <c r="D390" t="s">
        <v>830</v>
      </c>
      <c r="E390" t="s">
        <v>46</v>
      </c>
      <c r="F390">
        <v>46</v>
      </c>
      <c r="G390" t="s">
        <v>192</v>
      </c>
      <c r="H390" t="s">
        <v>822</v>
      </c>
      <c r="I390" t="s">
        <v>14</v>
      </c>
      <c r="K390">
        <v>49</v>
      </c>
      <c r="L390" t="s">
        <v>22</v>
      </c>
      <c r="M390" t="s">
        <v>28</v>
      </c>
    </row>
    <row r="391" spans="1:13" x14ac:dyDescent="0.3">
      <c r="A391" t="s">
        <v>831</v>
      </c>
      <c r="B391" s="8">
        <v>45469</v>
      </c>
      <c r="C391" s="9">
        <v>1.3194444444444444E-2</v>
      </c>
      <c r="D391" t="s">
        <v>832</v>
      </c>
      <c r="E391" t="s">
        <v>46</v>
      </c>
      <c r="F391">
        <v>42</v>
      </c>
      <c r="G391" t="s">
        <v>376</v>
      </c>
      <c r="H391" t="s">
        <v>822</v>
      </c>
      <c r="I391" t="s">
        <v>14</v>
      </c>
      <c r="K391">
        <v>41</v>
      </c>
      <c r="L391" t="s">
        <v>22</v>
      </c>
      <c r="M391" t="s">
        <v>28</v>
      </c>
    </row>
    <row r="392" spans="1:13" x14ac:dyDescent="0.3">
      <c r="A392" t="s">
        <v>833</v>
      </c>
      <c r="B392" s="8">
        <v>45099</v>
      </c>
      <c r="C392" s="9">
        <v>0.16388888888888889</v>
      </c>
      <c r="D392" t="s">
        <v>834</v>
      </c>
      <c r="E392" t="s">
        <v>46</v>
      </c>
      <c r="F392">
        <v>49</v>
      </c>
      <c r="G392" t="s">
        <v>376</v>
      </c>
      <c r="H392" t="s">
        <v>822</v>
      </c>
      <c r="I392" t="s">
        <v>14</v>
      </c>
      <c r="K392">
        <v>49</v>
      </c>
      <c r="L392" t="s">
        <v>22</v>
      </c>
      <c r="M392" t="s">
        <v>28</v>
      </c>
    </row>
    <row r="393" spans="1:13" x14ac:dyDescent="0.3">
      <c r="A393" t="s">
        <v>835</v>
      </c>
      <c r="B393" s="8">
        <v>45081</v>
      </c>
      <c r="C393" s="9">
        <v>0.12986111111111112</v>
      </c>
      <c r="D393" t="s">
        <v>836</v>
      </c>
      <c r="E393" t="s">
        <v>46</v>
      </c>
      <c r="F393">
        <v>14</v>
      </c>
      <c r="G393" t="s">
        <v>297</v>
      </c>
      <c r="H393" t="s">
        <v>822</v>
      </c>
      <c r="I393" t="s">
        <v>14</v>
      </c>
      <c r="K393">
        <v>43</v>
      </c>
      <c r="L393" t="s">
        <v>19</v>
      </c>
      <c r="M393" t="s">
        <v>28</v>
      </c>
    </row>
    <row r="394" spans="1:13" x14ac:dyDescent="0.3">
      <c r="A394" t="s">
        <v>837</v>
      </c>
      <c r="B394" s="8">
        <v>45097</v>
      </c>
      <c r="C394" s="9">
        <v>0.98402777777777772</v>
      </c>
      <c r="D394" t="s">
        <v>838</v>
      </c>
      <c r="E394" t="s">
        <v>91</v>
      </c>
      <c r="F394">
        <v>10</v>
      </c>
      <c r="G394" t="s">
        <v>547</v>
      </c>
      <c r="H394" t="s">
        <v>822</v>
      </c>
      <c r="I394" t="s">
        <v>13</v>
      </c>
      <c r="K394">
        <v>43</v>
      </c>
      <c r="L394" t="s">
        <v>18</v>
      </c>
      <c r="M394" t="s">
        <v>28</v>
      </c>
    </row>
    <row r="395" spans="1:13" x14ac:dyDescent="0.3">
      <c r="A395" t="s">
        <v>839</v>
      </c>
      <c r="B395" s="8">
        <v>45087</v>
      </c>
      <c r="C395" s="9">
        <v>0.29791666666666666</v>
      </c>
      <c r="D395" t="s">
        <v>840</v>
      </c>
      <c r="E395" t="s">
        <v>91</v>
      </c>
      <c r="F395">
        <v>78</v>
      </c>
      <c r="G395" t="s">
        <v>47</v>
      </c>
      <c r="H395" t="s">
        <v>822</v>
      </c>
      <c r="I395" t="s">
        <v>13</v>
      </c>
      <c r="K395">
        <v>59</v>
      </c>
      <c r="L395" t="s">
        <v>25</v>
      </c>
      <c r="M395" t="s">
        <v>28</v>
      </c>
    </row>
    <row r="396" spans="1:13" x14ac:dyDescent="0.3">
      <c r="A396" t="s">
        <v>841</v>
      </c>
      <c r="B396" s="8">
        <v>45078</v>
      </c>
      <c r="C396" s="9">
        <v>0.88888888888888884</v>
      </c>
      <c r="D396" t="s">
        <v>842</v>
      </c>
      <c r="E396" t="s">
        <v>46</v>
      </c>
      <c r="F396">
        <v>4</v>
      </c>
      <c r="G396" t="s">
        <v>192</v>
      </c>
      <c r="H396" t="s">
        <v>822</v>
      </c>
      <c r="I396" t="s">
        <v>13</v>
      </c>
      <c r="K396">
        <v>32</v>
      </c>
      <c r="L396" t="s">
        <v>18</v>
      </c>
      <c r="M396" t="s">
        <v>28</v>
      </c>
    </row>
    <row r="397" spans="1:13" x14ac:dyDescent="0.3">
      <c r="A397" t="s">
        <v>843</v>
      </c>
      <c r="B397" s="8">
        <v>45084</v>
      </c>
      <c r="C397" s="9">
        <v>0.43958333333333333</v>
      </c>
      <c r="D397" t="s">
        <v>844</v>
      </c>
      <c r="E397" t="s">
        <v>46</v>
      </c>
      <c r="F397">
        <v>30</v>
      </c>
      <c r="G397" t="s">
        <v>451</v>
      </c>
      <c r="H397" t="s">
        <v>822</v>
      </c>
      <c r="I397" t="s">
        <v>13</v>
      </c>
      <c r="K397">
        <v>49</v>
      </c>
      <c r="L397" t="s">
        <v>20</v>
      </c>
      <c r="M397" t="s">
        <v>28</v>
      </c>
    </row>
    <row r="398" spans="1:13" x14ac:dyDescent="0.3">
      <c r="A398" t="s">
        <v>845</v>
      </c>
      <c r="B398" s="8">
        <v>45080</v>
      </c>
      <c r="C398" s="9">
        <v>0.37569444444444444</v>
      </c>
      <c r="D398" t="s">
        <v>846</v>
      </c>
      <c r="E398" t="s">
        <v>46</v>
      </c>
      <c r="F398">
        <v>74</v>
      </c>
      <c r="G398" t="s">
        <v>47</v>
      </c>
      <c r="H398" t="s">
        <v>822</v>
      </c>
      <c r="I398" t="s">
        <v>13</v>
      </c>
      <c r="K398">
        <v>45</v>
      </c>
      <c r="L398" t="s">
        <v>25</v>
      </c>
      <c r="M398" t="s">
        <v>28</v>
      </c>
    </row>
    <row r="399" spans="1:13" x14ac:dyDescent="0.3">
      <c r="A399" t="s">
        <v>847</v>
      </c>
      <c r="B399" s="8">
        <v>45101</v>
      </c>
      <c r="C399" s="9">
        <v>0.57222222222222219</v>
      </c>
      <c r="D399" t="s">
        <v>848</v>
      </c>
      <c r="E399" t="s">
        <v>46</v>
      </c>
      <c r="F399">
        <v>11</v>
      </c>
      <c r="G399" t="s">
        <v>47</v>
      </c>
      <c r="H399" t="s">
        <v>822</v>
      </c>
      <c r="I399" t="s">
        <v>13</v>
      </c>
      <c r="K399">
        <v>42</v>
      </c>
      <c r="L399" t="s">
        <v>19</v>
      </c>
      <c r="M399" t="s">
        <v>28</v>
      </c>
    </row>
    <row r="400" spans="1:13" x14ac:dyDescent="0.3">
      <c r="A400" t="s">
        <v>849</v>
      </c>
      <c r="B400" s="8">
        <v>45083</v>
      </c>
      <c r="C400" s="9">
        <v>0.18263888888888888</v>
      </c>
      <c r="D400" t="s">
        <v>850</v>
      </c>
      <c r="E400" t="s">
        <v>91</v>
      </c>
      <c r="F400">
        <v>65</v>
      </c>
      <c r="G400" t="s">
        <v>192</v>
      </c>
      <c r="H400" t="s">
        <v>851</v>
      </c>
      <c r="I400" t="s">
        <v>13</v>
      </c>
      <c r="K400">
        <v>59</v>
      </c>
      <c r="L400" t="s">
        <v>24</v>
      </c>
      <c r="M400" t="s">
        <v>28</v>
      </c>
    </row>
    <row r="401" spans="1:13" x14ac:dyDescent="0.3">
      <c r="A401" t="s">
        <v>852</v>
      </c>
      <c r="B401" s="8">
        <v>45467</v>
      </c>
      <c r="C401" s="9">
        <v>0.52083333333333337</v>
      </c>
      <c r="D401" t="s">
        <v>853</v>
      </c>
      <c r="E401" t="s">
        <v>91</v>
      </c>
      <c r="F401">
        <v>18</v>
      </c>
      <c r="G401" t="s">
        <v>192</v>
      </c>
      <c r="H401" t="s">
        <v>851</v>
      </c>
      <c r="I401" t="s">
        <v>14</v>
      </c>
      <c r="K401">
        <v>32</v>
      </c>
      <c r="L401" t="s">
        <v>19</v>
      </c>
      <c r="M401" t="s">
        <v>28</v>
      </c>
    </row>
    <row r="402" spans="1:13" x14ac:dyDescent="0.3">
      <c r="A402" t="s">
        <v>854</v>
      </c>
      <c r="B402" s="8">
        <v>45453</v>
      </c>
      <c r="C402" s="9">
        <v>0.5625</v>
      </c>
      <c r="D402" t="s">
        <v>855</v>
      </c>
      <c r="E402" t="s">
        <v>91</v>
      </c>
      <c r="F402">
        <v>58</v>
      </c>
      <c r="G402" t="s">
        <v>376</v>
      </c>
      <c r="H402" t="s">
        <v>851</v>
      </c>
      <c r="I402" t="s">
        <v>14</v>
      </c>
      <c r="K402">
        <v>35</v>
      </c>
      <c r="L402" t="s">
        <v>23</v>
      </c>
      <c r="M402" t="s">
        <v>28</v>
      </c>
    </row>
    <row r="403" spans="1:13" x14ac:dyDescent="0.3">
      <c r="A403" t="s">
        <v>856</v>
      </c>
      <c r="B403" s="8">
        <v>45460</v>
      </c>
      <c r="C403" s="9">
        <v>0.74791666666666667</v>
      </c>
      <c r="D403" t="s">
        <v>857</v>
      </c>
      <c r="E403" t="s">
        <v>91</v>
      </c>
      <c r="F403">
        <v>59</v>
      </c>
      <c r="G403" t="s">
        <v>547</v>
      </c>
      <c r="H403" t="s">
        <v>851</v>
      </c>
      <c r="I403" t="s">
        <v>14</v>
      </c>
      <c r="K403">
        <v>42</v>
      </c>
      <c r="L403" t="s">
        <v>23</v>
      </c>
      <c r="M403" t="s">
        <v>28</v>
      </c>
    </row>
    <row r="404" spans="1:13" x14ac:dyDescent="0.3">
      <c r="A404" t="s">
        <v>858</v>
      </c>
      <c r="B404" s="8">
        <v>45089</v>
      </c>
      <c r="C404" s="9">
        <v>0.23055555555555557</v>
      </c>
      <c r="D404" t="s">
        <v>859</v>
      </c>
      <c r="E404" t="s">
        <v>91</v>
      </c>
      <c r="F404">
        <v>18</v>
      </c>
      <c r="G404" t="s">
        <v>297</v>
      </c>
      <c r="H404" t="s">
        <v>851</v>
      </c>
      <c r="I404" t="s">
        <v>14</v>
      </c>
      <c r="K404">
        <v>42</v>
      </c>
      <c r="L404" t="s">
        <v>19</v>
      </c>
      <c r="M404" t="s">
        <v>28</v>
      </c>
    </row>
    <row r="405" spans="1:13" x14ac:dyDescent="0.3">
      <c r="A405" t="s">
        <v>860</v>
      </c>
      <c r="B405" s="8">
        <v>45458</v>
      </c>
      <c r="C405" s="9">
        <v>0.17083333333333334</v>
      </c>
      <c r="D405" t="s">
        <v>861</v>
      </c>
      <c r="E405" t="s">
        <v>46</v>
      </c>
      <c r="F405">
        <v>29</v>
      </c>
      <c r="G405" t="s">
        <v>451</v>
      </c>
      <c r="H405" t="s">
        <v>851</v>
      </c>
      <c r="I405" t="s">
        <v>14</v>
      </c>
      <c r="K405">
        <v>57</v>
      </c>
      <c r="L405" t="s">
        <v>20</v>
      </c>
      <c r="M405" t="s">
        <v>28</v>
      </c>
    </row>
    <row r="406" spans="1:13" x14ac:dyDescent="0.3">
      <c r="A406" t="s">
        <v>862</v>
      </c>
      <c r="B406" s="8">
        <v>45455</v>
      </c>
      <c r="C406" s="9">
        <v>0.6958333333333333</v>
      </c>
      <c r="D406" t="s">
        <v>863</v>
      </c>
      <c r="E406" t="s">
        <v>46</v>
      </c>
      <c r="F406">
        <v>32</v>
      </c>
      <c r="G406" t="s">
        <v>297</v>
      </c>
      <c r="H406" t="s">
        <v>851</v>
      </c>
      <c r="I406" t="s">
        <v>14</v>
      </c>
      <c r="K406">
        <v>49</v>
      </c>
      <c r="L406" t="s">
        <v>21</v>
      </c>
      <c r="M406" t="s">
        <v>28</v>
      </c>
    </row>
    <row r="407" spans="1:13" x14ac:dyDescent="0.3">
      <c r="A407" t="s">
        <v>864</v>
      </c>
      <c r="B407" s="8">
        <v>45473</v>
      </c>
      <c r="C407" s="9">
        <v>0.77708333333333335</v>
      </c>
      <c r="D407" t="s">
        <v>865</v>
      </c>
      <c r="E407" t="s">
        <v>46</v>
      </c>
      <c r="F407">
        <v>63</v>
      </c>
      <c r="G407" t="s">
        <v>47</v>
      </c>
      <c r="H407" t="s">
        <v>851</v>
      </c>
      <c r="I407" t="s">
        <v>14</v>
      </c>
      <c r="K407">
        <v>60</v>
      </c>
      <c r="L407" t="s">
        <v>24</v>
      </c>
      <c r="M407" t="s">
        <v>28</v>
      </c>
    </row>
    <row r="408" spans="1:13" x14ac:dyDescent="0.3">
      <c r="A408" t="s">
        <v>866</v>
      </c>
      <c r="B408" s="8">
        <v>45107</v>
      </c>
      <c r="C408" s="9">
        <v>0.11458333333333333</v>
      </c>
      <c r="D408" t="s">
        <v>867</v>
      </c>
      <c r="E408" t="s">
        <v>91</v>
      </c>
      <c r="F408">
        <v>7</v>
      </c>
      <c r="G408" t="s">
        <v>192</v>
      </c>
      <c r="H408" t="s">
        <v>851</v>
      </c>
      <c r="I408" t="s">
        <v>13</v>
      </c>
      <c r="K408">
        <v>37</v>
      </c>
      <c r="L408" t="s">
        <v>18</v>
      </c>
      <c r="M408" t="s">
        <v>28</v>
      </c>
    </row>
    <row r="409" spans="1:13" x14ac:dyDescent="0.3">
      <c r="A409" t="s">
        <v>868</v>
      </c>
      <c r="B409" s="8">
        <v>45082</v>
      </c>
      <c r="C409" s="9">
        <v>0.55486111111111114</v>
      </c>
      <c r="D409" t="s">
        <v>869</v>
      </c>
      <c r="E409" t="s">
        <v>91</v>
      </c>
      <c r="F409">
        <v>12</v>
      </c>
      <c r="G409" t="s">
        <v>192</v>
      </c>
      <c r="H409" t="s">
        <v>851</v>
      </c>
      <c r="I409" t="s">
        <v>13</v>
      </c>
      <c r="K409">
        <v>44</v>
      </c>
      <c r="L409" t="s">
        <v>19</v>
      </c>
      <c r="M409" t="s">
        <v>28</v>
      </c>
    </row>
    <row r="410" spans="1:13" x14ac:dyDescent="0.3">
      <c r="A410" t="s">
        <v>870</v>
      </c>
      <c r="B410" s="8">
        <v>45085</v>
      </c>
      <c r="C410" s="9">
        <v>2.7777777777777776E-2</v>
      </c>
      <c r="D410" t="s">
        <v>871</v>
      </c>
      <c r="E410" t="s">
        <v>91</v>
      </c>
      <c r="F410">
        <v>37</v>
      </c>
      <c r="G410" t="s">
        <v>451</v>
      </c>
      <c r="H410" t="s">
        <v>851</v>
      </c>
      <c r="I410" t="s">
        <v>13</v>
      </c>
      <c r="K410">
        <v>34</v>
      </c>
      <c r="L410" t="s">
        <v>21</v>
      </c>
      <c r="M410" t="s">
        <v>28</v>
      </c>
    </row>
    <row r="411" spans="1:13" x14ac:dyDescent="0.3">
      <c r="A411" t="s">
        <v>872</v>
      </c>
      <c r="B411" s="8">
        <v>45461</v>
      </c>
      <c r="C411" s="9">
        <v>0.89236111111111116</v>
      </c>
      <c r="D411" t="s">
        <v>873</v>
      </c>
      <c r="E411" t="s">
        <v>91</v>
      </c>
      <c r="F411">
        <v>56</v>
      </c>
      <c r="G411" t="s">
        <v>520</v>
      </c>
      <c r="H411" t="s">
        <v>851</v>
      </c>
      <c r="I411" t="s">
        <v>13</v>
      </c>
      <c r="K411">
        <v>55</v>
      </c>
      <c r="L411" t="s">
        <v>23</v>
      </c>
      <c r="M411" t="s">
        <v>28</v>
      </c>
    </row>
    <row r="412" spans="1:13" x14ac:dyDescent="0.3">
      <c r="A412" t="s">
        <v>874</v>
      </c>
      <c r="B412" s="8">
        <v>45467</v>
      </c>
      <c r="C412" s="9">
        <v>0.53333333333333333</v>
      </c>
      <c r="D412" t="s">
        <v>875</v>
      </c>
      <c r="E412" t="s">
        <v>91</v>
      </c>
      <c r="F412">
        <v>1</v>
      </c>
      <c r="G412" t="s">
        <v>297</v>
      </c>
      <c r="H412" t="s">
        <v>851</v>
      </c>
      <c r="I412" t="s">
        <v>13</v>
      </c>
      <c r="K412">
        <v>55</v>
      </c>
      <c r="L412" t="s">
        <v>18</v>
      </c>
      <c r="M412" t="s">
        <v>28</v>
      </c>
    </row>
    <row r="413" spans="1:13" x14ac:dyDescent="0.3">
      <c r="A413" t="s">
        <v>876</v>
      </c>
      <c r="B413" s="8">
        <v>45470</v>
      </c>
      <c r="C413" s="9">
        <v>0.95486111111111116</v>
      </c>
      <c r="D413" t="s">
        <v>877</v>
      </c>
      <c r="E413" t="s">
        <v>91</v>
      </c>
      <c r="F413">
        <v>79</v>
      </c>
      <c r="G413" t="s">
        <v>297</v>
      </c>
      <c r="H413" t="s">
        <v>851</v>
      </c>
      <c r="I413" t="s">
        <v>13</v>
      </c>
      <c r="K413">
        <v>43</v>
      </c>
      <c r="L413" t="s">
        <v>25</v>
      </c>
      <c r="M413" t="s">
        <v>28</v>
      </c>
    </row>
    <row r="414" spans="1:13" x14ac:dyDescent="0.3">
      <c r="A414" t="s">
        <v>878</v>
      </c>
      <c r="B414" s="8">
        <v>45447</v>
      </c>
      <c r="C414" s="9">
        <v>0.92291666666666672</v>
      </c>
      <c r="D414" t="s">
        <v>879</v>
      </c>
      <c r="E414" t="s">
        <v>46</v>
      </c>
      <c r="F414">
        <v>74</v>
      </c>
      <c r="G414" t="s">
        <v>297</v>
      </c>
      <c r="H414" t="s">
        <v>851</v>
      </c>
      <c r="I414" t="s">
        <v>13</v>
      </c>
      <c r="K414">
        <v>44</v>
      </c>
      <c r="L414" t="s">
        <v>25</v>
      </c>
      <c r="M414" t="s">
        <v>28</v>
      </c>
    </row>
    <row r="415" spans="1:13" x14ac:dyDescent="0.3">
      <c r="A415" t="s">
        <v>880</v>
      </c>
      <c r="B415" s="8">
        <v>45103</v>
      </c>
      <c r="C415" s="9">
        <v>0.9555555555555556</v>
      </c>
      <c r="D415" t="s">
        <v>881</v>
      </c>
      <c r="E415" t="s">
        <v>91</v>
      </c>
      <c r="F415">
        <v>27</v>
      </c>
      <c r="G415" t="s">
        <v>297</v>
      </c>
      <c r="H415" t="s">
        <v>882</v>
      </c>
      <c r="I415" t="s">
        <v>14</v>
      </c>
      <c r="K415">
        <v>42</v>
      </c>
      <c r="L415" t="s">
        <v>20</v>
      </c>
      <c r="M415" t="s">
        <v>28</v>
      </c>
    </row>
    <row r="416" spans="1:13" x14ac:dyDescent="0.3">
      <c r="A416" t="s">
        <v>883</v>
      </c>
      <c r="B416" s="8">
        <v>45089</v>
      </c>
      <c r="C416" s="9">
        <v>0.58402777777777781</v>
      </c>
      <c r="D416" t="s">
        <v>884</v>
      </c>
      <c r="E416" t="s">
        <v>91</v>
      </c>
      <c r="F416">
        <v>72</v>
      </c>
      <c r="G416" t="s">
        <v>297</v>
      </c>
      <c r="H416" t="s">
        <v>882</v>
      </c>
      <c r="I416" t="s">
        <v>13</v>
      </c>
      <c r="K416">
        <v>56</v>
      </c>
      <c r="L416" t="s">
        <v>25</v>
      </c>
      <c r="M416" t="s">
        <v>28</v>
      </c>
    </row>
    <row r="417" spans="1:13" x14ac:dyDescent="0.3">
      <c r="A417" t="s">
        <v>885</v>
      </c>
      <c r="B417" s="8">
        <v>45100</v>
      </c>
      <c r="C417" s="9">
        <v>0.18055555555555555</v>
      </c>
      <c r="D417" t="s">
        <v>886</v>
      </c>
      <c r="E417" t="s">
        <v>91</v>
      </c>
      <c r="F417">
        <v>62</v>
      </c>
      <c r="G417" t="s">
        <v>451</v>
      </c>
      <c r="H417" t="s">
        <v>882</v>
      </c>
      <c r="I417" t="s">
        <v>14</v>
      </c>
      <c r="K417">
        <v>57</v>
      </c>
      <c r="L417" t="s">
        <v>24</v>
      </c>
      <c r="M417" t="s">
        <v>28</v>
      </c>
    </row>
    <row r="418" spans="1:13" x14ac:dyDescent="0.3">
      <c r="A418" t="s">
        <v>887</v>
      </c>
      <c r="B418" s="8">
        <v>45473</v>
      </c>
      <c r="C418" s="9">
        <v>0.85</v>
      </c>
      <c r="D418" t="s">
        <v>888</v>
      </c>
      <c r="E418" t="s">
        <v>91</v>
      </c>
      <c r="F418">
        <v>57</v>
      </c>
      <c r="G418" t="s">
        <v>547</v>
      </c>
      <c r="H418" t="s">
        <v>882</v>
      </c>
      <c r="I418" t="s">
        <v>14</v>
      </c>
      <c r="K418">
        <v>44</v>
      </c>
      <c r="L418" t="s">
        <v>23</v>
      </c>
      <c r="M418" t="s">
        <v>28</v>
      </c>
    </row>
    <row r="419" spans="1:13" x14ac:dyDescent="0.3">
      <c r="A419" t="s">
        <v>889</v>
      </c>
      <c r="B419" s="8">
        <v>45470</v>
      </c>
      <c r="C419" s="9">
        <v>0.88958333333333328</v>
      </c>
      <c r="D419" t="s">
        <v>890</v>
      </c>
      <c r="E419" t="s">
        <v>91</v>
      </c>
      <c r="F419">
        <v>5</v>
      </c>
      <c r="G419" t="s">
        <v>520</v>
      </c>
      <c r="H419" t="s">
        <v>882</v>
      </c>
      <c r="I419" t="s">
        <v>14</v>
      </c>
      <c r="K419">
        <v>33</v>
      </c>
      <c r="L419" t="s">
        <v>18</v>
      </c>
      <c r="M419" t="s">
        <v>28</v>
      </c>
    </row>
    <row r="420" spans="1:13" x14ac:dyDescent="0.3">
      <c r="A420" t="s">
        <v>891</v>
      </c>
      <c r="B420" s="8">
        <v>45457</v>
      </c>
      <c r="C420" s="9">
        <v>2.013888888888889E-2</v>
      </c>
      <c r="D420" t="s">
        <v>892</v>
      </c>
      <c r="E420" t="s">
        <v>91</v>
      </c>
      <c r="F420">
        <v>40</v>
      </c>
      <c r="G420" t="s">
        <v>297</v>
      </c>
      <c r="H420" t="s">
        <v>882</v>
      </c>
      <c r="I420" t="s">
        <v>14</v>
      </c>
      <c r="K420">
        <v>57</v>
      </c>
      <c r="L420" t="s">
        <v>21</v>
      </c>
      <c r="M420" t="s">
        <v>28</v>
      </c>
    </row>
    <row r="421" spans="1:13" x14ac:dyDescent="0.3">
      <c r="A421" t="s">
        <v>893</v>
      </c>
      <c r="B421" s="8">
        <v>45087</v>
      </c>
      <c r="C421" s="9">
        <v>0.21249999999999999</v>
      </c>
      <c r="D421" t="s">
        <v>894</v>
      </c>
      <c r="E421" t="s">
        <v>91</v>
      </c>
      <c r="F421">
        <v>51</v>
      </c>
      <c r="G421" t="s">
        <v>47</v>
      </c>
      <c r="H421" t="s">
        <v>882</v>
      </c>
      <c r="I421" t="s">
        <v>14</v>
      </c>
      <c r="K421">
        <v>39</v>
      </c>
      <c r="L421" t="s">
        <v>23</v>
      </c>
      <c r="M421" t="s">
        <v>28</v>
      </c>
    </row>
    <row r="422" spans="1:13" x14ac:dyDescent="0.3">
      <c r="A422" t="s">
        <v>895</v>
      </c>
      <c r="B422" s="8">
        <v>45086</v>
      </c>
      <c r="C422" s="9">
        <v>6.7361111111111108E-2</v>
      </c>
      <c r="D422" t="s">
        <v>896</v>
      </c>
      <c r="E422" t="s">
        <v>91</v>
      </c>
      <c r="F422">
        <v>30</v>
      </c>
      <c r="G422" t="s">
        <v>47</v>
      </c>
      <c r="H422" t="s">
        <v>882</v>
      </c>
      <c r="I422" t="s">
        <v>14</v>
      </c>
      <c r="K422">
        <v>56</v>
      </c>
      <c r="L422" t="s">
        <v>20</v>
      </c>
      <c r="M422" t="s">
        <v>28</v>
      </c>
    </row>
    <row r="423" spans="1:13" x14ac:dyDescent="0.3">
      <c r="A423" t="s">
        <v>897</v>
      </c>
      <c r="B423" s="8">
        <v>45456</v>
      </c>
      <c r="C423" s="9">
        <v>0.75624999999999998</v>
      </c>
      <c r="D423" t="s">
        <v>898</v>
      </c>
      <c r="E423" t="s">
        <v>46</v>
      </c>
      <c r="F423">
        <v>65</v>
      </c>
      <c r="G423" t="s">
        <v>192</v>
      </c>
      <c r="H423" t="s">
        <v>882</v>
      </c>
      <c r="I423" t="s">
        <v>14</v>
      </c>
      <c r="K423">
        <v>32</v>
      </c>
      <c r="L423" t="s">
        <v>24</v>
      </c>
      <c r="M423" t="s">
        <v>28</v>
      </c>
    </row>
    <row r="424" spans="1:13" x14ac:dyDescent="0.3">
      <c r="A424" t="s">
        <v>899</v>
      </c>
      <c r="B424" s="8">
        <v>45083</v>
      </c>
      <c r="C424" s="9">
        <v>0.49513888888888891</v>
      </c>
      <c r="D424" t="s">
        <v>900</v>
      </c>
      <c r="E424" t="s">
        <v>46</v>
      </c>
      <c r="F424">
        <v>77</v>
      </c>
      <c r="G424" t="s">
        <v>547</v>
      </c>
      <c r="H424" t="s">
        <v>882</v>
      </c>
      <c r="I424" t="s">
        <v>14</v>
      </c>
      <c r="K424">
        <v>45</v>
      </c>
      <c r="L424" t="s">
        <v>25</v>
      </c>
      <c r="M424" t="s">
        <v>28</v>
      </c>
    </row>
    <row r="425" spans="1:13" x14ac:dyDescent="0.3">
      <c r="A425" t="s">
        <v>901</v>
      </c>
      <c r="B425" s="8">
        <v>45088</v>
      </c>
      <c r="C425" s="9">
        <v>0.56597222222222221</v>
      </c>
      <c r="D425" t="s">
        <v>902</v>
      </c>
      <c r="E425" t="s">
        <v>46</v>
      </c>
      <c r="F425">
        <v>29</v>
      </c>
      <c r="G425" t="s">
        <v>297</v>
      </c>
      <c r="H425" t="s">
        <v>882</v>
      </c>
      <c r="I425" t="s">
        <v>14</v>
      </c>
      <c r="K425">
        <v>57</v>
      </c>
      <c r="L425" t="s">
        <v>20</v>
      </c>
      <c r="M425" t="s">
        <v>28</v>
      </c>
    </row>
    <row r="426" spans="1:13" x14ac:dyDescent="0.3">
      <c r="A426" t="s">
        <v>903</v>
      </c>
      <c r="B426" s="8">
        <v>45453</v>
      </c>
      <c r="C426" s="9">
        <v>0.97916666666666663</v>
      </c>
      <c r="D426" t="s">
        <v>904</v>
      </c>
      <c r="E426" t="s">
        <v>91</v>
      </c>
      <c r="F426">
        <v>31</v>
      </c>
      <c r="G426" t="s">
        <v>192</v>
      </c>
      <c r="H426" t="s">
        <v>882</v>
      </c>
      <c r="I426" t="s">
        <v>13</v>
      </c>
      <c r="K426">
        <v>36</v>
      </c>
      <c r="L426" t="s">
        <v>21</v>
      </c>
      <c r="M426" t="s">
        <v>28</v>
      </c>
    </row>
    <row r="427" spans="1:13" x14ac:dyDescent="0.3">
      <c r="A427" t="s">
        <v>905</v>
      </c>
      <c r="B427" s="8">
        <v>45450</v>
      </c>
      <c r="C427" s="9">
        <v>1.7361111111111112E-2</v>
      </c>
      <c r="D427" t="s">
        <v>906</v>
      </c>
      <c r="E427" t="s">
        <v>46</v>
      </c>
      <c r="F427">
        <v>9</v>
      </c>
      <c r="G427" t="s">
        <v>376</v>
      </c>
      <c r="H427" t="s">
        <v>882</v>
      </c>
      <c r="I427" t="s">
        <v>13</v>
      </c>
      <c r="K427">
        <v>54</v>
      </c>
      <c r="L427" t="s">
        <v>18</v>
      </c>
      <c r="M427" t="s">
        <v>28</v>
      </c>
    </row>
    <row r="428" spans="1:13" x14ac:dyDescent="0.3">
      <c r="A428" t="s">
        <v>907</v>
      </c>
      <c r="B428" s="8">
        <v>45102</v>
      </c>
      <c r="C428" s="9">
        <v>0.32916666666666666</v>
      </c>
      <c r="D428" t="s">
        <v>908</v>
      </c>
      <c r="E428" t="s">
        <v>46</v>
      </c>
      <c r="F428">
        <v>19</v>
      </c>
      <c r="G428" t="s">
        <v>297</v>
      </c>
      <c r="H428" t="s">
        <v>882</v>
      </c>
      <c r="I428" t="s">
        <v>13</v>
      </c>
      <c r="K428">
        <v>32</v>
      </c>
      <c r="L428" t="s">
        <v>19</v>
      </c>
      <c r="M428" t="s">
        <v>28</v>
      </c>
    </row>
    <row r="429" spans="1:13" x14ac:dyDescent="0.3">
      <c r="A429" t="s">
        <v>909</v>
      </c>
      <c r="B429" s="8">
        <v>45445</v>
      </c>
      <c r="C429" s="9">
        <v>0.33263888888888887</v>
      </c>
      <c r="D429" t="s">
        <v>910</v>
      </c>
      <c r="E429" t="s">
        <v>91</v>
      </c>
      <c r="F429">
        <v>28</v>
      </c>
      <c r="G429" t="s">
        <v>451</v>
      </c>
      <c r="H429" t="s">
        <v>911</v>
      </c>
      <c r="I429" t="s">
        <v>14</v>
      </c>
      <c r="K429">
        <v>50</v>
      </c>
      <c r="L429" t="s">
        <v>20</v>
      </c>
      <c r="M429" t="s">
        <v>28</v>
      </c>
    </row>
    <row r="430" spans="1:13" x14ac:dyDescent="0.3">
      <c r="A430" t="s">
        <v>912</v>
      </c>
      <c r="B430" s="8">
        <v>45454</v>
      </c>
      <c r="C430" s="9">
        <v>0.27569444444444446</v>
      </c>
      <c r="D430" t="s">
        <v>913</v>
      </c>
      <c r="E430" t="s">
        <v>91</v>
      </c>
      <c r="F430">
        <v>43</v>
      </c>
      <c r="G430" t="s">
        <v>47</v>
      </c>
      <c r="H430" t="s">
        <v>911</v>
      </c>
      <c r="I430" t="s">
        <v>14</v>
      </c>
      <c r="K430">
        <v>46</v>
      </c>
      <c r="L430" t="s">
        <v>22</v>
      </c>
      <c r="M430" t="s">
        <v>28</v>
      </c>
    </row>
    <row r="431" spans="1:13" x14ac:dyDescent="0.3">
      <c r="A431" t="s">
        <v>914</v>
      </c>
      <c r="B431" s="8">
        <v>45081</v>
      </c>
      <c r="C431" s="9">
        <v>0.44861111111111113</v>
      </c>
      <c r="D431" t="s">
        <v>915</v>
      </c>
      <c r="E431" t="s">
        <v>91</v>
      </c>
      <c r="F431">
        <v>13</v>
      </c>
      <c r="G431" t="s">
        <v>47</v>
      </c>
      <c r="H431" t="s">
        <v>911</v>
      </c>
      <c r="I431" t="s">
        <v>14</v>
      </c>
      <c r="K431">
        <v>60</v>
      </c>
      <c r="L431" t="s">
        <v>19</v>
      </c>
      <c r="M431" t="s">
        <v>28</v>
      </c>
    </row>
    <row r="432" spans="1:13" x14ac:dyDescent="0.3">
      <c r="A432" t="s">
        <v>916</v>
      </c>
      <c r="B432" s="8">
        <v>45103</v>
      </c>
      <c r="C432" s="9">
        <v>0.34513888888888888</v>
      </c>
      <c r="D432" t="s">
        <v>917</v>
      </c>
      <c r="E432" t="s">
        <v>46</v>
      </c>
      <c r="F432">
        <v>65</v>
      </c>
      <c r="G432" t="s">
        <v>192</v>
      </c>
      <c r="H432" t="s">
        <v>911</v>
      </c>
      <c r="I432" t="s">
        <v>14</v>
      </c>
      <c r="K432">
        <v>44</v>
      </c>
      <c r="L432" t="s">
        <v>24</v>
      </c>
      <c r="M432" t="s">
        <v>28</v>
      </c>
    </row>
    <row r="433" spans="1:13" x14ac:dyDescent="0.3">
      <c r="A433" t="s">
        <v>918</v>
      </c>
      <c r="B433" s="8">
        <v>45449</v>
      </c>
      <c r="C433" s="9">
        <v>0.48749999999999999</v>
      </c>
      <c r="D433" t="s">
        <v>919</v>
      </c>
      <c r="E433" t="s">
        <v>46</v>
      </c>
      <c r="F433">
        <v>52</v>
      </c>
      <c r="G433" t="s">
        <v>451</v>
      </c>
      <c r="H433" t="s">
        <v>911</v>
      </c>
      <c r="I433" t="s">
        <v>14</v>
      </c>
      <c r="K433">
        <v>48</v>
      </c>
      <c r="L433" t="s">
        <v>23</v>
      </c>
      <c r="M433" t="s">
        <v>28</v>
      </c>
    </row>
    <row r="434" spans="1:13" x14ac:dyDescent="0.3">
      <c r="A434" t="s">
        <v>920</v>
      </c>
      <c r="B434" s="8">
        <v>45459</v>
      </c>
      <c r="C434" s="9">
        <v>0.24166666666666667</v>
      </c>
      <c r="D434" t="s">
        <v>921</v>
      </c>
      <c r="E434" t="s">
        <v>46</v>
      </c>
      <c r="F434">
        <v>28</v>
      </c>
      <c r="G434" t="s">
        <v>376</v>
      </c>
      <c r="H434" t="s">
        <v>911</v>
      </c>
      <c r="I434" t="s">
        <v>14</v>
      </c>
      <c r="K434">
        <v>37</v>
      </c>
      <c r="L434" t="s">
        <v>20</v>
      </c>
      <c r="M434" t="s">
        <v>28</v>
      </c>
    </row>
    <row r="435" spans="1:13" x14ac:dyDescent="0.3">
      <c r="A435" t="s">
        <v>922</v>
      </c>
      <c r="B435" s="8">
        <v>45468</v>
      </c>
      <c r="C435" s="9">
        <v>0.76388888888888884</v>
      </c>
      <c r="D435" t="s">
        <v>923</v>
      </c>
      <c r="E435" t="s">
        <v>46</v>
      </c>
      <c r="F435">
        <v>46</v>
      </c>
      <c r="G435" t="s">
        <v>47</v>
      </c>
      <c r="H435" t="s">
        <v>911</v>
      </c>
      <c r="I435" t="s">
        <v>14</v>
      </c>
      <c r="K435">
        <v>60</v>
      </c>
      <c r="L435" t="s">
        <v>22</v>
      </c>
      <c r="M435" t="s">
        <v>28</v>
      </c>
    </row>
    <row r="436" spans="1:13" x14ac:dyDescent="0.3">
      <c r="A436" t="s">
        <v>924</v>
      </c>
      <c r="B436" s="8">
        <v>45082</v>
      </c>
      <c r="C436" s="9">
        <v>3.5416666666666666E-2</v>
      </c>
      <c r="D436" t="s">
        <v>925</v>
      </c>
      <c r="E436" t="s">
        <v>91</v>
      </c>
      <c r="F436">
        <v>48</v>
      </c>
      <c r="G436" t="s">
        <v>520</v>
      </c>
      <c r="H436" t="s">
        <v>911</v>
      </c>
      <c r="I436" t="s">
        <v>13</v>
      </c>
      <c r="K436">
        <v>41</v>
      </c>
      <c r="L436" t="s">
        <v>22</v>
      </c>
      <c r="M436" t="s">
        <v>28</v>
      </c>
    </row>
    <row r="437" spans="1:13" x14ac:dyDescent="0.3">
      <c r="A437" t="s">
        <v>926</v>
      </c>
      <c r="B437" s="8">
        <v>45451</v>
      </c>
      <c r="C437" s="9">
        <v>0.59236111111111112</v>
      </c>
      <c r="D437" t="s">
        <v>927</v>
      </c>
      <c r="E437" t="s">
        <v>46</v>
      </c>
      <c r="F437">
        <v>75</v>
      </c>
      <c r="G437" t="s">
        <v>192</v>
      </c>
      <c r="H437" t="s">
        <v>911</v>
      </c>
      <c r="I437" t="s">
        <v>13</v>
      </c>
      <c r="K437">
        <v>60</v>
      </c>
      <c r="L437" t="s">
        <v>25</v>
      </c>
      <c r="M437" t="s">
        <v>28</v>
      </c>
    </row>
    <row r="438" spans="1:13" x14ac:dyDescent="0.3">
      <c r="A438" t="s">
        <v>928</v>
      </c>
      <c r="B438" s="8">
        <v>45099</v>
      </c>
      <c r="C438" s="9">
        <v>0.25486111111111109</v>
      </c>
      <c r="D438" t="s">
        <v>929</v>
      </c>
      <c r="E438" t="s">
        <v>46</v>
      </c>
      <c r="F438">
        <v>73</v>
      </c>
      <c r="G438" t="s">
        <v>376</v>
      </c>
      <c r="H438" t="s">
        <v>911</v>
      </c>
      <c r="I438" t="s">
        <v>13</v>
      </c>
      <c r="K438">
        <v>52</v>
      </c>
      <c r="L438" t="s">
        <v>25</v>
      </c>
      <c r="M438" t="s">
        <v>28</v>
      </c>
    </row>
    <row r="439" spans="1:13" x14ac:dyDescent="0.3">
      <c r="A439" t="s">
        <v>930</v>
      </c>
      <c r="B439" s="8">
        <v>45081</v>
      </c>
      <c r="C439" s="9">
        <v>0.44444444444444442</v>
      </c>
      <c r="D439" t="s">
        <v>931</v>
      </c>
      <c r="E439" t="s">
        <v>46</v>
      </c>
      <c r="F439">
        <v>71</v>
      </c>
      <c r="G439" t="s">
        <v>297</v>
      </c>
      <c r="H439" t="s">
        <v>911</v>
      </c>
      <c r="I439" t="s">
        <v>13</v>
      </c>
      <c r="K439">
        <v>43</v>
      </c>
      <c r="L439" t="s">
        <v>25</v>
      </c>
      <c r="M439" t="s">
        <v>28</v>
      </c>
    </row>
    <row r="440" spans="1:13" x14ac:dyDescent="0.3">
      <c r="A440" t="s">
        <v>932</v>
      </c>
      <c r="B440" s="8">
        <v>45456</v>
      </c>
      <c r="C440" s="9">
        <v>0.3034722222222222</v>
      </c>
      <c r="D440" t="s">
        <v>933</v>
      </c>
      <c r="E440" t="s">
        <v>46</v>
      </c>
      <c r="F440">
        <v>76</v>
      </c>
      <c r="G440" t="s">
        <v>376</v>
      </c>
      <c r="H440" t="s">
        <v>934</v>
      </c>
      <c r="I440" t="s">
        <v>14</v>
      </c>
      <c r="K440">
        <v>54</v>
      </c>
      <c r="L440" t="s">
        <v>25</v>
      </c>
      <c r="M440" t="s">
        <v>28</v>
      </c>
    </row>
    <row r="441" spans="1:13" x14ac:dyDescent="0.3">
      <c r="A441" t="s">
        <v>935</v>
      </c>
      <c r="B441" s="8">
        <v>45086</v>
      </c>
      <c r="C441" s="9">
        <v>0.80486111111111114</v>
      </c>
      <c r="D441" t="s">
        <v>936</v>
      </c>
      <c r="E441" t="s">
        <v>91</v>
      </c>
      <c r="F441">
        <v>68</v>
      </c>
      <c r="G441" t="s">
        <v>47</v>
      </c>
      <c r="H441" t="s">
        <v>934</v>
      </c>
      <c r="I441" t="s">
        <v>13</v>
      </c>
      <c r="K441">
        <v>44</v>
      </c>
      <c r="L441" t="s">
        <v>24</v>
      </c>
      <c r="M441" t="s">
        <v>28</v>
      </c>
    </row>
    <row r="442" spans="1:13" x14ac:dyDescent="0.3">
      <c r="A442" t="s">
        <v>937</v>
      </c>
      <c r="B442" s="8">
        <v>45448</v>
      </c>
      <c r="C442" s="9">
        <v>0.44374999999999998</v>
      </c>
      <c r="D442" t="s">
        <v>938</v>
      </c>
      <c r="E442" t="s">
        <v>91</v>
      </c>
      <c r="F442">
        <v>3</v>
      </c>
      <c r="G442" t="s">
        <v>192</v>
      </c>
      <c r="H442" t="s">
        <v>911</v>
      </c>
      <c r="I442" t="s">
        <v>13</v>
      </c>
      <c r="J442">
        <v>7</v>
      </c>
      <c r="K442">
        <v>31</v>
      </c>
      <c r="L442" t="s">
        <v>18</v>
      </c>
      <c r="M442" t="s">
        <v>28</v>
      </c>
    </row>
    <row r="443" spans="1:13" x14ac:dyDescent="0.3">
      <c r="A443" t="s">
        <v>939</v>
      </c>
      <c r="B443" s="8">
        <v>45099</v>
      </c>
      <c r="C443" s="9">
        <v>0.99305555555555558</v>
      </c>
      <c r="D443" t="s">
        <v>940</v>
      </c>
      <c r="E443" t="s">
        <v>91</v>
      </c>
      <c r="F443">
        <v>22</v>
      </c>
      <c r="G443" t="s">
        <v>376</v>
      </c>
      <c r="H443" t="s">
        <v>851</v>
      </c>
      <c r="I443" t="s">
        <v>14</v>
      </c>
      <c r="J443">
        <v>7</v>
      </c>
      <c r="K443">
        <v>41</v>
      </c>
      <c r="L443" t="s">
        <v>20</v>
      </c>
      <c r="M443" t="s">
        <v>28</v>
      </c>
    </row>
    <row r="444" spans="1:13" x14ac:dyDescent="0.3">
      <c r="A444" t="s">
        <v>941</v>
      </c>
      <c r="B444" s="8">
        <v>45460</v>
      </c>
      <c r="C444" s="9">
        <v>0.96111111111111114</v>
      </c>
      <c r="D444" t="s">
        <v>942</v>
      </c>
      <c r="E444" t="s">
        <v>91</v>
      </c>
      <c r="F444">
        <v>78</v>
      </c>
      <c r="G444" t="s">
        <v>376</v>
      </c>
      <c r="H444" t="s">
        <v>911</v>
      </c>
      <c r="I444" t="s">
        <v>14</v>
      </c>
      <c r="J444">
        <v>6</v>
      </c>
      <c r="K444">
        <v>32</v>
      </c>
      <c r="L444" t="s">
        <v>25</v>
      </c>
      <c r="M444" t="s">
        <v>28</v>
      </c>
    </row>
    <row r="445" spans="1:13" x14ac:dyDescent="0.3">
      <c r="A445" t="s">
        <v>943</v>
      </c>
      <c r="B445" s="8">
        <v>45465</v>
      </c>
      <c r="C445" s="9">
        <v>0.25486111111111109</v>
      </c>
      <c r="D445" t="s">
        <v>944</v>
      </c>
      <c r="E445" t="s">
        <v>91</v>
      </c>
      <c r="F445">
        <v>34</v>
      </c>
      <c r="G445" t="s">
        <v>376</v>
      </c>
      <c r="H445" t="s">
        <v>934</v>
      </c>
      <c r="I445" t="s">
        <v>14</v>
      </c>
      <c r="J445">
        <v>5</v>
      </c>
      <c r="K445">
        <v>50</v>
      </c>
      <c r="L445" t="s">
        <v>21</v>
      </c>
      <c r="M445" t="s">
        <v>28</v>
      </c>
    </row>
    <row r="446" spans="1:13" x14ac:dyDescent="0.3">
      <c r="A446" t="s">
        <v>945</v>
      </c>
      <c r="B446" s="8">
        <v>45078</v>
      </c>
      <c r="C446" s="9">
        <v>0.47499999999999998</v>
      </c>
      <c r="D446" t="s">
        <v>946</v>
      </c>
      <c r="E446" t="s">
        <v>91</v>
      </c>
      <c r="F446">
        <v>65</v>
      </c>
      <c r="G446" t="s">
        <v>520</v>
      </c>
      <c r="H446" t="s">
        <v>911</v>
      </c>
      <c r="I446" t="s">
        <v>14</v>
      </c>
      <c r="J446">
        <v>10</v>
      </c>
      <c r="K446">
        <v>53</v>
      </c>
      <c r="L446" t="s">
        <v>24</v>
      </c>
      <c r="M446" t="s">
        <v>28</v>
      </c>
    </row>
    <row r="447" spans="1:13" x14ac:dyDescent="0.3">
      <c r="A447" t="s">
        <v>947</v>
      </c>
      <c r="B447" s="8">
        <v>45096</v>
      </c>
      <c r="C447" s="9">
        <v>0.35138888888888886</v>
      </c>
      <c r="D447" t="s">
        <v>948</v>
      </c>
      <c r="E447" t="s">
        <v>46</v>
      </c>
      <c r="F447">
        <v>3</v>
      </c>
      <c r="G447" t="s">
        <v>192</v>
      </c>
      <c r="H447" t="s">
        <v>851</v>
      </c>
      <c r="I447" t="s">
        <v>14</v>
      </c>
      <c r="J447">
        <v>0</v>
      </c>
      <c r="K447">
        <v>59</v>
      </c>
      <c r="L447" t="s">
        <v>18</v>
      </c>
      <c r="M447" t="s">
        <v>28</v>
      </c>
    </row>
    <row r="448" spans="1:13" x14ac:dyDescent="0.3">
      <c r="A448" t="s">
        <v>949</v>
      </c>
      <c r="B448" s="8">
        <v>45446</v>
      </c>
      <c r="C448" s="9">
        <v>0.13402777777777777</v>
      </c>
      <c r="D448" t="s">
        <v>950</v>
      </c>
      <c r="E448" t="s">
        <v>46</v>
      </c>
      <c r="F448">
        <v>23</v>
      </c>
      <c r="G448" t="s">
        <v>192</v>
      </c>
      <c r="H448" t="s">
        <v>822</v>
      </c>
      <c r="I448" t="s">
        <v>14</v>
      </c>
      <c r="J448">
        <v>6</v>
      </c>
      <c r="K448">
        <v>52</v>
      </c>
      <c r="L448" t="s">
        <v>20</v>
      </c>
      <c r="M448" t="s">
        <v>28</v>
      </c>
    </row>
    <row r="449" spans="1:13" x14ac:dyDescent="0.3">
      <c r="A449" t="s">
        <v>951</v>
      </c>
      <c r="B449" s="8">
        <v>45450</v>
      </c>
      <c r="C449" s="9">
        <v>0.82777777777777772</v>
      </c>
      <c r="D449" t="s">
        <v>952</v>
      </c>
      <c r="E449" t="s">
        <v>46</v>
      </c>
      <c r="F449">
        <v>26</v>
      </c>
      <c r="G449" t="s">
        <v>451</v>
      </c>
      <c r="H449" t="s">
        <v>882</v>
      </c>
      <c r="I449" t="s">
        <v>14</v>
      </c>
      <c r="J449">
        <v>0</v>
      </c>
      <c r="K449">
        <v>37</v>
      </c>
      <c r="L449" t="s">
        <v>20</v>
      </c>
      <c r="M449" t="s">
        <v>28</v>
      </c>
    </row>
    <row r="450" spans="1:13" x14ac:dyDescent="0.3">
      <c r="A450" t="s">
        <v>953</v>
      </c>
      <c r="B450" s="8">
        <v>45081</v>
      </c>
      <c r="C450" s="9">
        <v>0.87847222222222221</v>
      </c>
      <c r="D450" t="s">
        <v>954</v>
      </c>
      <c r="E450" t="s">
        <v>46</v>
      </c>
      <c r="F450">
        <v>20</v>
      </c>
      <c r="G450" t="s">
        <v>376</v>
      </c>
      <c r="H450" t="s">
        <v>882</v>
      </c>
      <c r="I450" t="s">
        <v>14</v>
      </c>
      <c r="J450">
        <v>1</v>
      </c>
      <c r="K450">
        <v>46</v>
      </c>
      <c r="L450" t="s">
        <v>19</v>
      </c>
      <c r="M450" t="s">
        <v>28</v>
      </c>
    </row>
    <row r="451" spans="1:13" x14ac:dyDescent="0.3">
      <c r="A451" t="s">
        <v>955</v>
      </c>
      <c r="B451" s="8">
        <v>45094</v>
      </c>
      <c r="C451" s="9">
        <v>3.5416666666666666E-2</v>
      </c>
      <c r="D451" t="s">
        <v>956</v>
      </c>
      <c r="E451" t="s">
        <v>46</v>
      </c>
      <c r="F451">
        <v>64</v>
      </c>
      <c r="G451" t="s">
        <v>376</v>
      </c>
      <c r="H451" t="s">
        <v>882</v>
      </c>
      <c r="I451" t="s">
        <v>14</v>
      </c>
      <c r="J451">
        <v>9</v>
      </c>
      <c r="K451">
        <v>45</v>
      </c>
      <c r="L451" t="s">
        <v>24</v>
      </c>
      <c r="M451" t="s">
        <v>28</v>
      </c>
    </row>
    <row r="452" spans="1:13" x14ac:dyDescent="0.3">
      <c r="A452" t="s">
        <v>957</v>
      </c>
      <c r="B452" s="8">
        <v>45457</v>
      </c>
      <c r="C452" s="9">
        <v>0.20555555555555555</v>
      </c>
      <c r="D452" t="s">
        <v>958</v>
      </c>
      <c r="E452" t="s">
        <v>91</v>
      </c>
      <c r="F452">
        <v>79</v>
      </c>
      <c r="G452" t="s">
        <v>192</v>
      </c>
      <c r="H452" t="s">
        <v>822</v>
      </c>
      <c r="I452" t="s">
        <v>13</v>
      </c>
      <c r="J452">
        <v>10</v>
      </c>
      <c r="K452">
        <v>43</v>
      </c>
      <c r="L452" t="s">
        <v>25</v>
      </c>
      <c r="M452" t="s">
        <v>28</v>
      </c>
    </row>
    <row r="453" spans="1:13" x14ac:dyDescent="0.3">
      <c r="A453" t="s">
        <v>959</v>
      </c>
      <c r="B453" s="8">
        <v>45093</v>
      </c>
      <c r="C453" s="9">
        <v>0.4826388888888889</v>
      </c>
      <c r="D453" t="s">
        <v>960</v>
      </c>
      <c r="E453" t="s">
        <v>46</v>
      </c>
      <c r="F453">
        <v>22</v>
      </c>
      <c r="G453" t="s">
        <v>192</v>
      </c>
      <c r="H453" t="s">
        <v>882</v>
      </c>
      <c r="I453" t="s">
        <v>13</v>
      </c>
      <c r="J453">
        <v>1</v>
      </c>
      <c r="K453">
        <v>53</v>
      </c>
      <c r="L453" t="s">
        <v>20</v>
      </c>
      <c r="M453" t="s">
        <v>28</v>
      </c>
    </row>
    <row r="454" spans="1:13" x14ac:dyDescent="0.3">
      <c r="A454" t="s">
        <v>961</v>
      </c>
      <c r="B454" s="8">
        <v>45081</v>
      </c>
      <c r="C454" s="9">
        <v>0.96319444444444446</v>
      </c>
      <c r="D454" t="s">
        <v>962</v>
      </c>
      <c r="E454" t="s">
        <v>46</v>
      </c>
      <c r="F454">
        <v>20</v>
      </c>
      <c r="G454" t="s">
        <v>451</v>
      </c>
      <c r="H454" t="s">
        <v>934</v>
      </c>
      <c r="I454" t="s">
        <v>13</v>
      </c>
      <c r="J454">
        <v>2</v>
      </c>
      <c r="K454">
        <v>43</v>
      </c>
      <c r="L454" t="s">
        <v>19</v>
      </c>
      <c r="M454" t="s">
        <v>28</v>
      </c>
    </row>
    <row r="455" spans="1:13" x14ac:dyDescent="0.3">
      <c r="A455" t="s">
        <v>963</v>
      </c>
      <c r="B455" s="8">
        <v>45079</v>
      </c>
      <c r="C455" s="9">
        <v>0.32222222222222224</v>
      </c>
      <c r="D455" t="s">
        <v>964</v>
      </c>
      <c r="E455" t="s">
        <v>91</v>
      </c>
      <c r="F455">
        <v>46</v>
      </c>
      <c r="G455" t="s">
        <v>47</v>
      </c>
      <c r="H455" t="s">
        <v>822</v>
      </c>
      <c r="I455" t="s">
        <v>14</v>
      </c>
      <c r="J455">
        <v>5</v>
      </c>
      <c r="K455">
        <v>50</v>
      </c>
      <c r="L455" t="s">
        <v>22</v>
      </c>
      <c r="M455" t="s">
        <v>28</v>
      </c>
    </row>
    <row r="456" spans="1:13" x14ac:dyDescent="0.3">
      <c r="A456" t="s">
        <v>965</v>
      </c>
      <c r="B456" s="8">
        <v>45102</v>
      </c>
      <c r="C456" s="9">
        <v>0.83680555555555558</v>
      </c>
      <c r="D456" t="s">
        <v>966</v>
      </c>
      <c r="E456" t="s">
        <v>46</v>
      </c>
      <c r="F456">
        <v>19</v>
      </c>
      <c r="G456" t="s">
        <v>47</v>
      </c>
      <c r="H456" t="s">
        <v>822</v>
      </c>
      <c r="I456" t="s">
        <v>14</v>
      </c>
      <c r="J456">
        <v>6</v>
      </c>
      <c r="K456">
        <v>50</v>
      </c>
      <c r="L456" t="s">
        <v>19</v>
      </c>
      <c r="M456" t="s">
        <v>28</v>
      </c>
    </row>
    <row r="457" spans="1:13" x14ac:dyDescent="0.3">
      <c r="A457" t="s">
        <v>967</v>
      </c>
      <c r="B457" s="8">
        <v>45086</v>
      </c>
      <c r="C457" s="9">
        <v>0.42638888888888887</v>
      </c>
      <c r="D457" t="s">
        <v>968</v>
      </c>
      <c r="E457" t="s">
        <v>91</v>
      </c>
      <c r="F457">
        <v>36</v>
      </c>
      <c r="G457" t="s">
        <v>47</v>
      </c>
      <c r="H457" t="s">
        <v>911</v>
      </c>
      <c r="I457" t="s">
        <v>13</v>
      </c>
      <c r="J457">
        <v>6</v>
      </c>
      <c r="K457">
        <v>31</v>
      </c>
      <c r="L457" t="s">
        <v>21</v>
      </c>
      <c r="M457" t="s">
        <v>28</v>
      </c>
    </row>
    <row r="458" spans="1:13" x14ac:dyDescent="0.3">
      <c r="A458" t="s">
        <v>969</v>
      </c>
      <c r="B458" s="8">
        <v>45106</v>
      </c>
      <c r="C458" s="9">
        <v>0.80486111111111114</v>
      </c>
      <c r="D458" t="s">
        <v>970</v>
      </c>
      <c r="E458" t="s">
        <v>91</v>
      </c>
      <c r="F458">
        <v>59</v>
      </c>
      <c r="G458" t="s">
        <v>47</v>
      </c>
      <c r="H458" t="s">
        <v>851</v>
      </c>
      <c r="I458" t="s">
        <v>14</v>
      </c>
      <c r="J458">
        <v>7</v>
      </c>
      <c r="K458">
        <v>47</v>
      </c>
      <c r="L458" t="s">
        <v>23</v>
      </c>
      <c r="M458" t="s">
        <v>28</v>
      </c>
    </row>
    <row r="459" spans="1:13" x14ac:dyDescent="0.3">
      <c r="A459" t="s">
        <v>971</v>
      </c>
      <c r="B459" s="8">
        <v>45104</v>
      </c>
      <c r="C459" s="9">
        <v>0.1076388888888889</v>
      </c>
      <c r="D459" t="s">
        <v>972</v>
      </c>
      <c r="E459" t="s">
        <v>91</v>
      </c>
      <c r="F459">
        <v>47</v>
      </c>
      <c r="G459" t="s">
        <v>47</v>
      </c>
      <c r="H459" t="s">
        <v>911</v>
      </c>
      <c r="I459" t="s">
        <v>14</v>
      </c>
      <c r="J459">
        <v>7</v>
      </c>
      <c r="K459">
        <v>32</v>
      </c>
      <c r="L459" t="s">
        <v>22</v>
      </c>
      <c r="M459" t="s">
        <v>28</v>
      </c>
    </row>
    <row r="460" spans="1:13" x14ac:dyDescent="0.3">
      <c r="A460" t="s">
        <v>973</v>
      </c>
      <c r="B460" s="8">
        <v>45078</v>
      </c>
      <c r="C460" s="9">
        <v>0.97986111111111107</v>
      </c>
      <c r="D460" t="s">
        <v>974</v>
      </c>
      <c r="E460" t="s">
        <v>91</v>
      </c>
      <c r="F460">
        <v>23</v>
      </c>
      <c r="G460" t="s">
        <v>47</v>
      </c>
      <c r="H460" t="s">
        <v>882</v>
      </c>
      <c r="I460" t="s">
        <v>14</v>
      </c>
      <c r="J460">
        <v>2</v>
      </c>
      <c r="K460">
        <v>42</v>
      </c>
      <c r="L460" t="s">
        <v>20</v>
      </c>
      <c r="M460" t="s">
        <v>28</v>
      </c>
    </row>
    <row r="461" spans="1:13" x14ac:dyDescent="0.3">
      <c r="A461" t="s">
        <v>975</v>
      </c>
      <c r="B461" s="8">
        <v>45455</v>
      </c>
      <c r="C461" s="9">
        <v>0.21458333333333332</v>
      </c>
      <c r="D461" t="s">
        <v>976</v>
      </c>
      <c r="E461" t="s">
        <v>46</v>
      </c>
      <c r="F461">
        <v>40</v>
      </c>
      <c r="G461" t="s">
        <v>47</v>
      </c>
      <c r="H461" t="s">
        <v>882</v>
      </c>
      <c r="I461" t="s">
        <v>14</v>
      </c>
      <c r="J461">
        <v>9</v>
      </c>
      <c r="K461">
        <v>39</v>
      </c>
      <c r="L461" t="s">
        <v>21</v>
      </c>
      <c r="M461" t="s">
        <v>28</v>
      </c>
    </row>
    <row r="462" spans="1:13" x14ac:dyDescent="0.3">
      <c r="A462" t="s">
        <v>977</v>
      </c>
      <c r="B462" s="8">
        <v>45469</v>
      </c>
      <c r="C462" s="9">
        <v>0.16805555555555557</v>
      </c>
      <c r="D462" t="s">
        <v>978</v>
      </c>
      <c r="E462" t="s">
        <v>46</v>
      </c>
      <c r="F462">
        <v>9</v>
      </c>
      <c r="G462" t="s">
        <v>47</v>
      </c>
      <c r="H462" t="s">
        <v>822</v>
      </c>
      <c r="I462" t="s">
        <v>14</v>
      </c>
      <c r="J462">
        <v>0</v>
      </c>
      <c r="K462">
        <v>45</v>
      </c>
      <c r="L462" t="s">
        <v>18</v>
      </c>
      <c r="M462" t="s">
        <v>28</v>
      </c>
    </row>
    <row r="463" spans="1:13" x14ac:dyDescent="0.3">
      <c r="A463" t="s">
        <v>979</v>
      </c>
      <c r="B463" s="8">
        <v>45102</v>
      </c>
      <c r="C463" s="9">
        <v>0.83472222222222225</v>
      </c>
      <c r="D463" t="s">
        <v>980</v>
      </c>
      <c r="E463" t="s">
        <v>91</v>
      </c>
      <c r="F463">
        <v>33</v>
      </c>
      <c r="G463" t="s">
        <v>192</v>
      </c>
      <c r="H463" t="s">
        <v>733</v>
      </c>
      <c r="I463" t="s">
        <v>14</v>
      </c>
      <c r="J463">
        <v>0</v>
      </c>
      <c r="K463">
        <v>32</v>
      </c>
      <c r="L463" t="s">
        <v>21</v>
      </c>
      <c r="M463" t="s">
        <v>28</v>
      </c>
    </row>
    <row r="464" spans="1:13" x14ac:dyDescent="0.3">
      <c r="A464" t="s">
        <v>981</v>
      </c>
      <c r="B464" s="8">
        <v>45099</v>
      </c>
      <c r="C464" s="9">
        <v>0.24513888888888888</v>
      </c>
      <c r="D464" t="s">
        <v>982</v>
      </c>
      <c r="E464" t="s">
        <v>91</v>
      </c>
      <c r="F464">
        <v>67</v>
      </c>
      <c r="G464" t="s">
        <v>192</v>
      </c>
      <c r="H464" t="s">
        <v>733</v>
      </c>
      <c r="I464" t="s">
        <v>14</v>
      </c>
      <c r="J464">
        <v>2</v>
      </c>
      <c r="K464">
        <v>60</v>
      </c>
      <c r="L464" t="s">
        <v>24</v>
      </c>
      <c r="M464" t="s">
        <v>28</v>
      </c>
    </row>
    <row r="465" spans="1:13" x14ac:dyDescent="0.3">
      <c r="A465" t="s">
        <v>983</v>
      </c>
      <c r="B465" s="8">
        <v>45107</v>
      </c>
      <c r="C465" s="9">
        <v>0.62708333333333333</v>
      </c>
      <c r="D465" t="s">
        <v>984</v>
      </c>
      <c r="E465" t="s">
        <v>91</v>
      </c>
      <c r="F465">
        <v>3</v>
      </c>
      <c r="G465" t="s">
        <v>192</v>
      </c>
      <c r="H465" t="s">
        <v>733</v>
      </c>
      <c r="I465" t="s">
        <v>14</v>
      </c>
      <c r="J465">
        <v>9</v>
      </c>
      <c r="K465">
        <v>53</v>
      </c>
      <c r="L465" t="s">
        <v>18</v>
      </c>
      <c r="M465" t="s">
        <v>28</v>
      </c>
    </row>
    <row r="466" spans="1:13" x14ac:dyDescent="0.3">
      <c r="A466" t="s">
        <v>985</v>
      </c>
      <c r="B466" s="8">
        <v>45467</v>
      </c>
      <c r="C466" s="9">
        <v>0.14861111111111111</v>
      </c>
      <c r="D466" t="s">
        <v>986</v>
      </c>
      <c r="E466" t="s">
        <v>46</v>
      </c>
      <c r="F466">
        <v>10</v>
      </c>
      <c r="G466" t="s">
        <v>192</v>
      </c>
      <c r="H466" t="s">
        <v>733</v>
      </c>
      <c r="I466" t="s">
        <v>14</v>
      </c>
      <c r="J466">
        <v>1</v>
      </c>
      <c r="K466">
        <v>60</v>
      </c>
      <c r="L466" t="s">
        <v>18</v>
      </c>
      <c r="M466" t="s">
        <v>28</v>
      </c>
    </row>
    <row r="467" spans="1:13" x14ac:dyDescent="0.3">
      <c r="A467" t="s">
        <v>987</v>
      </c>
      <c r="B467" s="8">
        <v>45090</v>
      </c>
      <c r="C467" s="9">
        <v>0.81527777777777777</v>
      </c>
      <c r="D467" t="s">
        <v>988</v>
      </c>
      <c r="E467" t="s">
        <v>46</v>
      </c>
      <c r="F467">
        <v>38</v>
      </c>
      <c r="G467" t="s">
        <v>192</v>
      </c>
      <c r="H467" t="s">
        <v>733</v>
      </c>
      <c r="I467" t="s">
        <v>14</v>
      </c>
      <c r="J467">
        <v>5</v>
      </c>
      <c r="K467">
        <v>39</v>
      </c>
      <c r="L467" t="s">
        <v>21</v>
      </c>
      <c r="M467" t="s">
        <v>28</v>
      </c>
    </row>
    <row r="468" spans="1:13" x14ac:dyDescent="0.3">
      <c r="A468" t="s">
        <v>989</v>
      </c>
      <c r="B468" s="8">
        <v>45448</v>
      </c>
      <c r="C468" s="9">
        <v>0.74583333333333335</v>
      </c>
      <c r="D468" t="s">
        <v>990</v>
      </c>
      <c r="E468" t="s">
        <v>46</v>
      </c>
      <c r="F468">
        <v>40</v>
      </c>
      <c r="G468" t="s">
        <v>192</v>
      </c>
      <c r="H468" t="s">
        <v>733</v>
      </c>
      <c r="I468" t="s">
        <v>13</v>
      </c>
      <c r="J468">
        <v>3</v>
      </c>
      <c r="K468">
        <v>40</v>
      </c>
      <c r="L468" t="s">
        <v>21</v>
      </c>
      <c r="M468" t="s">
        <v>28</v>
      </c>
    </row>
    <row r="469" spans="1:13" x14ac:dyDescent="0.3">
      <c r="A469" t="s">
        <v>991</v>
      </c>
      <c r="B469" s="8">
        <v>45456</v>
      </c>
      <c r="C469" s="9">
        <v>0.39513888888888887</v>
      </c>
      <c r="D469" t="s">
        <v>992</v>
      </c>
      <c r="E469" t="s">
        <v>91</v>
      </c>
      <c r="F469">
        <v>27</v>
      </c>
      <c r="G469" t="s">
        <v>547</v>
      </c>
      <c r="H469" t="s">
        <v>733</v>
      </c>
      <c r="I469" t="s">
        <v>13</v>
      </c>
      <c r="J469">
        <v>7</v>
      </c>
      <c r="K469">
        <v>52</v>
      </c>
      <c r="L469" t="s">
        <v>20</v>
      </c>
      <c r="M469" t="s">
        <v>28</v>
      </c>
    </row>
    <row r="470" spans="1:13" x14ac:dyDescent="0.3">
      <c r="A470" t="s">
        <v>993</v>
      </c>
      <c r="B470" s="8">
        <v>45457</v>
      </c>
      <c r="C470" s="9">
        <v>0.78055555555555556</v>
      </c>
      <c r="D470" t="s">
        <v>994</v>
      </c>
      <c r="E470" t="s">
        <v>91</v>
      </c>
      <c r="F470">
        <v>56</v>
      </c>
      <c r="G470" t="s">
        <v>451</v>
      </c>
      <c r="H470" t="s">
        <v>733</v>
      </c>
      <c r="I470" t="s">
        <v>14</v>
      </c>
      <c r="J470">
        <v>3</v>
      </c>
      <c r="K470">
        <v>45</v>
      </c>
      <c r="L470" t="s">
        <v>23</v>
      </c>
      <c r="M470" t="s">
        <v>28</v>
      </c>
    </row>
    <row r="471" spans="1:13" x14ac:dyDescent="0.3">
      <c r="A471" t="s">
        <v>995</v>
      </c>
      <c r="B471" s="8">
        <v>45446</v>
      </c>
      <c r="C471" s="9">
        <v>0.18680555555555556</v>
      </c>
      <c r="D471" t="s">
        <v>996</v>
      </c>
      <c r="E471" t="s">
        <v>91</v>
      </c>
      <c r="F471">
        <v>12</v>
      </c>
      <c r="G471" t="s">
        <v>376</v>
      </c>
      <c r="H471" t="s">
        <v>733</v>
      </c>
      <c r="I471" t="s">
        <v>14</v>
      </c>
      <c r="J471">
        <v>0</v>
      </c>
      <c r="K471">
        <v>57</v>
      </c>
      <c r="L471" t="s">
        <v>19</v>
      </c>
      <c r="M471" t="s">
        <v>28</v>
      </c>
    </row>
    <row r="472" spans="1:13" x14ac:dyDescent="0.3">
      <c r="A472" t="s">
        <v>997</v>
      </c>
      <c r="B472" s="8">
        <v>45446</v>
      </c>
      <c r="C472" s="9">
        <v>0.51111111111111107</v>
      </c>
      <c r="D472" t="s">
        <v>998</v>
      </c>
      <c r="E472" t="s">
        <v>91</v>
      </c>
      <c r="F472">
        <v>25</v>
      </c>
      <c r="G472" t="s">
        <v>547</v>
      </c>
      <c r="H472" t="s">
        <v>733</v>
      </c>
      <c r="I472" t="s">
        <v>14</v>
      </c>
      <c r="J472">
        <v>0</v>
      </c>
      <c r="K472">
        <v>32</v>
      </c>
      <c r="L472" t="s">
        <v>20</v>
      </c>
      <c r="M472" t="s">
        <v>28</v>
      </c>
    </row>
    <row r="473" spans="1:13" x14ac:dyDescent="0.3">
      <c r="A473" t="s">
        <v>999</v>
      </c>
      <c r="B473" s="8">
        <v>45097</v>
      </c>
      <c r="C473" s="9">
        <v>0.33750000000000002</v>
      </c>
      <c r="D473" t="s">
        <v>1000</v>
      </c>
      <c r="E473" t="s">
        <v>91</v>
      </c>
      <c r="F473">
        <v>44</v>
      </c>
      <c r="G473" t="s">
        <v>547</v>
      </c>
      <c r="H473" t="s">
        <v>733</v>
      </c>
      <c r="I473" t="s">
        <v>14</v>
      </c>
      <c r="J473">
        <v>3</v>
      </c>
      <c r="K473">
        <v>34</v>
      </c>
      <c r="L473" t="s">
        <v>22</v>
      </c>
      <c r="M473" t="s">
        <v>28</v>
      </c>
    </row>
    <row r="474" spans="1:13" x14ac:dyDescent="0.3">
      <c r="A474" t="s">
        <v>1001</v>
      </c>
      <c r="B474" s="8">
        <v>45088</v>
      </c>
      <c r="C474" s="9">
        <v>0.52361111111111114</v>
      </c>
      <c r="D474" t="s">
        <v>1002</v>
      </c>
      <c r="E474" t="s">
        <v>46</v>
      </c>
      <c r="F474">
        <v>14</v>
      </c>
      <c r="G474" t="s">
        <v>451</v>
      </c>
      <c r="H474" t="s">
        <v>733</v>
      </c>
      <c r="I474" t="s">
        <v>14</v>
      </c>
      <c r="J474">
        <v>8</v>
      </c>
      <c r="K474">
        <v>50</v>
      </c>
      <c r="L474" t="s">
        <v>19</v>
      </c>
      <c r="M474" t="s">
        <v>28</v>
      </c>
    </row>
    <row r="475" spans="1:13" x14ac:dyDescent="0.3">
      <c r="A475" t="s">
        <v>1003</v>
      </c>
      <c r="B475" s="8">
        <v>45452</v>
      </c>
      <c r="C475" s="9">
        <v>0.65833333333333333</v>
      </c>
      <c r="D475" t="s">
        <v>1004</v>
      </c>
      <c r="E475" t="s">
        <v>46</v>
      </c>
      <c r="F475">
        <v>72</v>
      </c>
      <c r="G475" t="s">
        <v>451</v>
      </c>
      <c r="H475" t="s">
        <v>733</v>
      </c>
      <c r="I475" t="s">
        <v>14</v>
      </c>
      <c r="J475">
        <v>10</v>
      </c>
      <c r="K475">
        <v>34</v>
      </c>
      <c r="L475" t="s">
        <v>25</v>
      </c>
      <c r="M475" t="s">
        <v>28</v>
      </c>
    </row>
    <row r="476" spans="1:13" x14ac:dyDescent="0.3">
      <c r="A476" t="s">
        <v>1005</v>
      </c>
      <c r="B476" s="8">
        <v>45088</v>
      </c>
      <c r="C476" s="9">
        <v>0.81805555555555554</v>
      </c>
      <c r="D476" t="s">
        <v>1006</v>
      </c>
      <c r="E476" t="s">
        <v>46</v>
      </c>
      <c r="F476">
        <v>69</v>
      </c>
      <c r="G476" t="s">
        <v>376</v>
      </c>
      <c r="H476" t="s">
        <v>733</v>
      </c>
      <c r="I476" t="s">
        <v>14</v>
      </c>
      <c r="J476">
        <v>9</v>
      </c>
      <c r="K476">
        <v>45</v>
      </c>
      <c r="L476" t="s">
        <v>24</v>
      </c>
      <c r="M476" t="s">
        <v>28</v>
      </c>
    </row>
    <row r="477" spans="1:13" x14ac:dyDescent="0.3">
      <c r="A477" t="s">
        <v>1007</v>
      </c>
      <c r="B477" s="8">
        <v>45094</v>
      </c>
      <c r="C477" s="9">
        <v>0.4465277777777778</v>
      </c>
      <c r="D477" t="s">
        <v>1008</v>
      </c>
      <c r="E477" t="s">
        <v>91</v>
      </c>
      <c r="F477">
        <v>47</v>
      </c>
      <c r="G477" t="s">
        <v>451</v>
      </c>
      <c r="H477" t="s">
        <v>733</v>
      </c>
      <c r="I477" t="s">
        <v>13</v>
      </c>
      <c r="J477">
        <v>10</v>
      </c>
      <c r="K477">
        <v>58</v>
      </c>
      <c r="L477" t="s">
        <v>22</v>
      </c>
      <c r="M477" t="s">
        <v>28</v>
      </c>
    </row>
    <row r="478" spans="1:13" x14ac:dyDescent="0.3">
      <c r="A478" t="s">
        <v>1009</v>
      </c>
      <c r="B478" s="8">
        <v>45466</v>
      </c>
      <c r="C478" s="9">
        <v>0.65</v>
      </c>
      <c r="D478" t="s">
        <v>1010</v>
      </c>
      <c r="E478" t="s">
        <v>91</v>
      </c>
      <c r="F478">
        <v>9</v>
      </c>
      <c r="G478" t="s">
        <v>547</v>
      </c>
      <c r="H478" t="s">
        <v>733</v>
      </c>
      <c r="I478" t="s">
        <v>13</v>
      </c>
      <c r="J478">
        <v>3</v>
      </c>
      <c r="K478">
        <v>38</v>
      </c>
      <c r="L478" t="s">
        <v>18</v>
      </c>
      <c r="M478" t="s">
        <v>28</v>
      </c>
    </row>
    <row r="479" spans="1:13" x14ac:dyDescent="0.3">
      <c r="A479" t="s">
        <v>1011</v>
      </c>
      <c r="B479" s="8">
        <v>45088</v>
      </c>
      <c r="C479" s="9">
        <v>0.74583333333333335</v>
      </c>
      <c r="D479" t="s">
        <v>1012</v>
      </c>
      <c r="E479" t="s">
        <v>91</v>
      </c>
      <c r="F479">
        <v>19</v>
      </c>
      <c r="G479" t="s">
        <v>297</v>
      </c>
      <c r="H479" t="s">
        <v>733</v>
      </c>
      <c r="I479" t="s">
        <v>13</v>
      </c>
      <c r="J479">
        <v>10</v>
      </c>
      <c r="K479">
        <v>42</v>
      </c>
      <c r="L479" t="s">
        <v>19</v>
      </c>
      <c r="M479" t="s">
        <v>28</v>
      </c>
    </row>
    <row r="480" spans="1:13" x14ac:dyDescent="0.3">
      <c r="A480" t="s">
        <v>1013</v>
      </c>
      <c r="B480" s="8">
        <v>45444</v>
      </c>
      <c r="C480" s="9">
        <v>0.82499999999999996</v>
      </c>
      <c r="D480" t="s">
        <v>1014</v>
      </c>
      <c r="E480" t="s">
        <v>46</v>
      </c>
      <c r="F480">
        <v>2</v>
      </c>
      <c r="G480" t="s">
        <v>376</v>
      </c>
      <c r="H480" t="s">
        <v>733</v>
      </c>
      <c r="I480" t="s">
        <v>13</v>
      </c>
      <c r="J480">
        <v>4</v>
      </c>
      <c r="K480">
        <v>51</v>
      </c>
      <c r="L480" t="s">
        <v>18</v>
      </c>
      <c r="M480" t="s">
        <v>28</v>
      </c>
    </row>
    <row r="481" spans="1:13" x14ac:dyDescent="0.3">
      <c r="A481" t="s">
        <v>1015</v>
      </c>
      <c r="B481" s="8">
        <v>45088</v>
      </c>
      <c r="C481" s="9">
        <v>0.37569444444444444</v>
      </c>
      <c r="D481" t="s">
        <v>1016</v>
      </c>
      <c r="E481" t="s">
        <v>91</v>
      </c>
      <c r="F481">
        <v>6</v>
      </c>
      <c r="G481" t="s">
        <v>47</v>
      </c>
      <c r="H481" t="s">
        <v>733</v>
      </c>
      <c r="I481" t="s">
        <v>14</v>
      </c>
      <c r="J481">
        <v>2</v>
      </c>
      <c r="K481">
        <v>56</v>
      </c>
      <c r="L481" t="s">
        <v>18</v>
      </c>
      <c r="M481" t="s">
        <v>28</v>
      </c>
    </row>
    <row r="482" spans="1:13" x14ac:dyDescent="0.3">
      <c r="A482" t="s">
        <v>1017</v>
      </c>
      <c r="B482" s="8">
        <v>45444</v>
      </c>
      <c r="C482" s="9">
        <v>2.7777777777777776E-2</v>
      </c>
      <c r="D482" t="s">
        <v>1018</v>
      </c>
      <c r="E482" t="s">
        <v>46</v>
      </c>
      <c r="F482">
        <v>71</v>
      </c>
      <c r="G482" t="s">
        <v>47</v>
      </c>
      <c r="H482" t="s">
        <v>733</v>
      </c>
      <c r="I482" t="s">
        <v>14</v>
      </c>
      <c r="J482">
        <v>0</v>
      </c>
      <c r="K482">
        <v>53</v>
      </c>
      <c r="L482" t="s">
        <v>25</v>
      </c>
      <c r="M482" t="s">
        <v>28</v>
      </c>
    </row>
    <row r="483" spans="1:13" x14ac:dyDescent="0.3">
      <c r="A483" t="s">
        <v>1019</v>
      </c>
      <c r="B483" s="8">
        <v>45453</v>
      </c>
      <c r="C483" s="9">
        <v>0.84444444444444444</v>
      </c>
      <c r="D483" t="s">
        <v>1020</v>
      </c>
      <c r="E483" t="s">
        <v>91</v>
      </c>
      <c r="F483">
        <v>74</v>
      </c>
      <c r="G483" t="s">
        <v>47</v>
      </c>
      <c r="H483" t="s">
        <v>733</v>
      </c>
      <c r="I483" t="s">
        <v>13</v>
      </c>
      <c r="J483">
        <v>4</v>
      </c>
      <c r="K483">
        <v>32</v>
      </c>
      <c r="L483" t="s">
        <v>25</v>
      </c>
      <c r="M483" t="s">
        <v>28</v>
      </c>
    </row>
    <row r="484" spans="1:13" x14ac:dyDescent="0.3">
      <c r="A484" t="s">
        <v>1021</v>
      </c>
      <c r="B484" s="8">
        <v>45095</v>
      </c>
      <c r="C484" s="9">
        <v>9.5138888888888884E-2</v>
      </c>
      <c r="D484" t="s">
        <v>1022</v>
      </c>
      <c r="E484" t="s">
        <v>46</v>
      </c>
      <c r="F484">
        <v>58</v>
      </c>
      <c r="G484" t="s">
        <v>47</v>
      </c>
      <c r="H484" t="s">
        <v>733</v>
      </c>
      <c r="I484" t="s">
        <v>13</v>
      </c>
      <c r="J484">
        <v>5</v>
      </c>
      <c r="K484">
        <v>46</v>
      </c>
      <c r="L484" t="s">
        <v>23</v>
      </c>
      <c r="M484" t="s">
        <v>28</v>
      </c>
    </row>
    <row r="485" spans="1:13" x14ac:dyDescent="0.3">
      <c r="A485" t="s">
        <v>1023</v>
      </c>
      <c r="B485" s="8">
        <v>45086</v>
      </c>
      <c r="C485" s="9">
        <v>0.25972222222222224</v>
      </c>
      <c r="D485" t="s">
        <v>1024</v>
      </c>
      <c r="E485" t="s">
        <v>46</v>
      </c>
      <c r="F485">
        <v>65</v>
      </c>
      <c r="G485" t="s">
        <v>47</v>
      </c>
      <c r="H485" t="s">
        <v>733</v>
      </c>
      <c r="I485" t="s">
        <v>13</v>
      </c>
      <c r="J485">
        <v>10</v>
      </c>
      <c r="K485">
        <v>33</v>
      </c>
      <c r="L485" t="s">
        <v>24</v>
      </c>
      <c r="M485" t="s">
        <v>28</v>
      </c>
    </row>
    <row r="486" spans="1:13" x14ac:dyDescent="0.3">
      <c r="A486" t="s">
        <v>1025</v>
      </c>
      <c r="B486" s="8">
        <v>45445</v>
      </c>
      <c r="C486" s="9">
        <v>0.43472222222222223</v>
      </c>
      <c r="D486" t="s">
        <v>1026</v>
      </c>
      <c r="E486" t="s">
        <v>46</v>
      </c>
      <c r="F486">
        <v>64</v>
      </c>
      <c r="G486" t="s">
        <v>297</v>
      </c>
      <c r="H486" t="s">
        <v>568</v>
      </c>
      <c r="I486" t="s">
        <v>13</v>
      </c>
      <c r="J486">
        <v>3</v>
      </c>
      <c r="K486">
        <v>32</v>
      </c>
      <c r="L486" t="s">
        <v>24</v>
      </c>
      <c r="M486" t="s">
        <v>28</v>
      </c>
    </row>
    <row r="487" spans="1:13" x14ac:dyDescent="0.3">
      <c r="A487" t="s">
        <v>1027</v>
      </c>
      <c r="B487" s="8">
        <v>45452</v>
      </c>
      <c r="C487" s="9">
        <v>9.583333333333334E-2</v>
      </c>
      <c r="D487" t="s">
        <v>1028</v>
      </c>
      <c r="E487" t="s">
        <v>46</v>
      </c>
      <c r="F487">
        <v>78</v>
      </c>
      <c r="G487" t="s">
        <v>297</v>
      </c>
      <c r="H487" t="s">
        <v>568</v>
      </c>
      <c r="I487" t="s">
        <v>14</v>
      </c>
      <c r="J487">
        <v>3</v>
      </c>
      <c r="K487">
        <v>60</v>
      </c>
      <c r="L487" t="s">
        <v>25</v>
      </c>
      <c r="M487" t="s">
        <v>28</v>
      </c>
    </row>
    <row r="488" spans="1:13" x14ac:dyDescent="0.3">
      <c r="A488" t="s">
        <v>1029</v>
      </c>
      <c r="B488" s="8">
        <v>45091</v>
      </c>
      <c r="C488" s="9">
        <v>0.10833333333333334</v>
      </c>
      <c r="D488" t="s">
        <v>1030</v>
      </c>
      <c r="E488" t="s">
        <v>91</v>
      </c>
      <c r="F488">
        <v>60</v>
      </c>
      <c r="G488" t="s">
        <v>297</v>
      </c>
      <c r="H488" t="s">
        <v>568</v>
      </c>
      <c r="I488" t="s">
        <v>13</v>
      </c>
      <c r="J488">
        <v>4</v>
      </c>
      <c r="K488">
        <v>56</v>
      </c>
      <c r="L488" t="s">
        <v>23</v>
      </c>
      <c r="M488" t="s">
        <v>28</v>
      </c>
    </row>
    <row r="489" spans="1:13" x14ac:dyDescent="0.3">
      <c r="A489" t="s">
        <v>1031</v>
      </c>
      <c r="B489" s="8">
        <v>45449</v>
      </c>
      <c r="C489" s="9">
        <v>0.40138888888888891</v>
      </c>
      <c r="D489" t="s">
        <v>1032</v>
      </c>
      <c r="E489" t="s">
        <v>46</v>
      </c>
      <c r="F489">
        <v>22</v>
      </c>
      <c r="G489" t="s">
        <v>297</v>
      </c>
      <c r="H489" t="s">
        <v>568</v>
      </c>
      <c r="I489" t="s">
        <v>13</v>
      </c>
      <c r="J489">
        <v>0</v>
      </c>
      <c r="K489">
        <v>41</v>
      </c>
      <c r="L489" t="s">
        <v>20</v>
      </c>
      <c r="M489" t="s">
        <v>28</v>
      </c>
    </row>
    <row r="490" spans="1:13" x14ac:dyDescent="0.3">
      <c r="A490" t="s">
        <v>1033</v>
      </c>
      <c r="B490" s="8">
        <v>45467</v>
      </c>
      <c r="C490" s="9">
        <v>0.32361111111111113</v>
      </c>
      <c r="D490" t="s">
        <v>1034</v>
      </c>
      <c r="E490" t="s">
        <v>46</v>
      </c>
      <c r="F490">
        <v>25</v>
      </c>
      <c r="G490" t="s">
        <v>297</v>
      </c>
      <c r="H490" t="s">
        <v>568</v>
      </c>
      <c r="I490" t="s">
        <v>13</v>
      </c>
      <c r="J490">
        <v>9</v>
      </c>
      <c r="K490">
        <v>42</v>
      </c>
      <c r="L490" t="s">
        <v>20</v>
      </c>
      <c r="M490" t="s">
        <v>28</v>
      </c>
    </row>
    <row r="491" spans="1:13" x14ac:dyDescent="0.3">
      <c r="A491" t="s">
        <v>1035</v>
      </c>
      <c r="B491" s="8">
        <v>45462</v>
      </c>
      <c r="C491" s="9">
        <v>0.53680555555555554</v>
      </c>
      <c r="D491" t="s">
        <v>1036</v>
      </c>
      <c r="E491" t="s">
        <v>46</v>
      </c>
      <c r="F491">
        <v>62</v>
      </c>
      <c r="G491" t="s">
        <v>376</v>
      </c>
      <c r="H491" t="s">
        <v>568</v>
      </c>
      <c r="I491" t="s">
        <v>14</v>
      </c>
      <c r="J491">
        <v>6</v>
      </c>
      <c r="K491">
        <v>42</v>
      </c>
      <c r="L491" t="s">
        <v>24</v>
      </c>
      <c r="M491" t="s">
        <v>28</v>
      </c>
    </row>
    <row r="492" spans="1:13" x14ac:dyDescent="0.3">
      <c r="A492" t="s">
        <v>1037</v>
      </c>
      <c r="B492" s="8">
        <v>45458</v>
      </c>
      <c r="C492" s="9">
        <v>0.18888888888888888</v>
      </c>
      <c r="D492" t="s">
        <v>1038</v>
      </c>
      <c r="E492" t="s">
        <v>91</v>
      </c>
      <c r="F492">
        <v>18</v>
      </c>
      <c r="G492" t="s">
        <v>376</v>
      </c>
      <c r="H492" t="s">
        <v>568</v>
      </c>
      <c r="I492" t="s">
        <v>13</v>
      </c>
      <c r="J492">
        <v>7</v>
      </c>
      <c r="K492">
        <v>57</v>
      </c>
      <c r="L492" t="s">
        <v>19</v>
      </c>
      <c r="M492" t="s">
        <v>28</v>
      </c>
    </row>
    <row r="493" spans="1:13" x14ac:dyDescent="0.3">
      <c r="A493" t="s">
        <v>1039</v>
      </c>
      <c r="B493" s="8">
        <v>45445</v>
      </c>
      <c r="C493" s="9">
        <v>0.24444444444444444</v>
      </c>
      <c r="D493" t="s">
        <v>1040</v>
      </c>
      <c r="E493" t="s">
        <v>46</v>
      </c>
      <c r="F493">
        <v>78</v>
      </c>
      <c r="G493" t="s">
        <v>520</v>
      </c>
      <c r="H493" t="s">
        <v>568</v>
      </c>
      <c r="I493" t="s">
        <v>14</v>
      </c>
      <c r="J493">
        <v>7</v>
      </c>
      <c r="K493">
        <v>59</v>
      </c>
      <c r="L493" t="s">
        <v>25</v>
      </c>
      <c r="M493" t="s">
        <v>28</v>
      </c>
    </row>
    <row r="494" spans="1:13" x14ac:dyDescent="0.3">
      <c r="A494" t="s">
        <v>1041</v>
      </c>
      <c r="B494" s="8">
        <v>45084</v>
      </c>
      <c r="C494" s="9">
        <v>0.48402777777777778</v>
      </c>
      <c r="D494" t="s">
        <v>1042</v>
      </c>
      <c r="E494" t="s">
        <v>46</v>
      </c>
      <c r="F494">
        <v>76</v>
      </c>
      <c r="G494" t="s">
        <v>451</v>
      </c>
      <c r="H494" t="s">
        <v>568</v>
      </c>
      <c r="I494" t="s">
        <v>13</v>
      </c>
      <c r="J494">
        <v>5</v>
      </c>
      <c r="K494">
        <v>32</v>
      </c>
      <c r="L494" t="s">
        <v>25</v>
      </c>
      <c r="M494" t="s">
        <v>28</v>
      </c>
    </row>
    <row r="495" spans="1:13" x14ac:dyDescent="0.3">
      <c r="A495" t="s">
        <v>1043</v>
      </c>
      <c r="B495" s="8">
        <v>45469</v>
      </c>
      <c r="C495" s="9">
        <v>0.33819444444444446</v>
      </c>
      <c r="D495" t="s">
        <v>1044</v>
      </c>
      <c r="E495" t="s">
        <v>91</v>
      </c>
      <c r="F495">
        <v>47</v>
      </c>
      <c r="G495" t="s">
        <v>451</v>
      </c>
      <c r="H495" t="s">
        <v>568</v>
      </c>
      <c r="I495" t="s">
        <v>14</v>
      </c>
      <c r="J495">
        <v>10</v>
      </c>
      <c r="K495">
        <v>38</v>
      </c>
      <c r="L495" t="s">
        <v>22</v>
      </c>
      <c r="M495" t="s">
        <v>28</v>
      </c>
    </row>
    <row r="496" spans="1:13" x14ac:dyDescent="0.3">
      <c r="A496" t="s">
        <v>1045</v>
      </c>
      <c r="B496" s="8">
        <v>45104</v>
      </c>
      <c r="C496" s="9">
        <v>0.54861111111111116</v>
      </c>
      <c r="D496" t="s">
        <v>1046</v>
      </c>
      <c r="E496" t="s">
        <v>91</v>
      </c>
      <c r="F496">
        <v>22</v>
      </c>
      <c r="G496" t="s">
        <v>451</v>
      </c>
      <c r="H496" t="s">
        <v>568</v>
      </c>
      <c r="I496" t="s">
        <v>13</v>
      </c>
      <c r="J496">
        <v>8</v>
      </c>
      <c r="K496">
        <v>34</v>
      </c>
      <c r="L496" t="s">
        <v>20</v>
      </c>
      <c r="M496" t="s">
        <v>28</v>
      </c>
    </row>
    <row r="497" spans="1:13" x14ac:dyDescent="0.3">
      <c r="A497" t="s">
        <v>1047</v>
      </c>
      <c r="B497" s="8">
        <v>45093</v>
      </c>
      <c r="C497" s="9">
        <v>0.6645833333333333</v>
      </c>
      <c r="D497" t="s">
        <v>1048</v>
      </c>
      <c r="E497" t="s">
        <v>91</v>
      </c>
      <c r="F497">
        <v>39</v>
      </c>
      <c r="G497" t="s">
        <v>520</v>
      </c>
      <c r="H497" t="s">
        <v>568</v>
      </c>
      <c r="I497" t="s">
        <v>13</v>
      </c>
      <c r="J497">
        <v>2</v>
      </c>
      <c r="K497">
        <v>46</v>
      </c>
      <c r="L497" t="s">
        <v>21</v>
      </c>
      <c r="M497" t="s">
        <v>28</v>
      </c>
    </row>
    <row r="498" spans="1:13" x14ac:dyDescent="0.3">
      <c r="A498" t="s">
        <v>1049</v>
      </c>
      <c r="B498" s="8">
        <v>45463</v>
      </c>
      <c r="C498" s="9">
        <v>0.3840277777777778</v>
      </c>
      <c r="D498" t="s">
        <v>1050</v>
      </c>
      <c r="E498" t="s">
        <v>91</v>
      </c>
      <c r="F498">
        <v>56</v>
      </c>
      <c r="G498" t="s">
        <v>192</v>
      </c>
      <c r="H498" t="s">
        <v>568</v>
      </c>
      <c r="I498" t="s">
        <v>13</v>
      </c>
      <c r="J498">
        <v>9</v>
      </c>
      <c r="K498">
        <v>55</v>
      </c>
      <c r="L498" t="s">
        <v>23</v>
      </c>
      <c r="M498" t="s">
        <v>28</v>
      </c>
    </row>
    <row r="499" spans="1:13" x14ac:dyDescent="0.3">
      <c r="A499" t="s">
        <v>1051</v>
      </c>
      <c r="B499" s="8">
        <v>45454</v>
      </c>
      <c r="C499" s="9">
        <v>0.79583333333333328</v>
      </c>
      <c r="D499" t="s">
        <v>1052</v>
      </c>
      <c r="E499" t="s">
        <v>91</v>
      </c>
      <c r="F499">
        <v>69</v>
      </c>
      <c r="G499" t="s">
        <v>192</v>
      </c>
      <c r="H499" t="s">
        <v>568</v>
      </c>
      <c r="I499" t="s">
        <v>14</v>
      </c>
      <c r="J499">
        <v>0</v>
      </c>
      <c r="K499">
        <v>33</v>
      </c>
      <c r="L499" t="s">
        <v>24</v>
      </c>
      <c r="M499" t="s">
        <v>28</v>
      </c>
    </row>
    <row r="500" spans="1:13" x14ac:dyDescent="0.3">
      <c r="A500" t="s">
        <v>1053</v>
      </c>
      <c r="B500" s="8">
        <v>45097</v>
      </c>
      <c r="C500" s="9">
        <v>0.32430555555555557</v>
      </c>
      <c r="D500" t="s">
        <v>1054</v>
      </c>
      <c r="E500" t="s">
        <v>91</v>
      </c>
      <c r="F500">
        <v>55</v>
      </c>
      <c r="G500" t="s">
        <v>192</v>
      </c>
      <c r="H500" t="s">
        <v>568</v>
      </c>
      <c r="I500" t="s">
        <v>14</v>
      </c>
      <c r="J500">
        <v>1</v>
      </c>
      <c r="K500">
        <v>56</v>
      </c>
      <c r="L500" t="s">
        <v>23</v>
      </c>
      <c r="M500" t="s">
        <v>28</v>
      </c>
    </row>
    <row r="501" spans="1:13" x14ac:dyDescent="0.3">
      <c r="A501" t="s">
        <v>1055</v>
      </c>
      <c r="B501" s="8">
        <v>45086</v>
      </c>
      <c r="C501" s="9">
        <v>0.82777777777777772</v>
      </c>
      <c r="D501" t="s">
        <v>1056</v>
      </c>
      <c r="E501" t="s">
        <v>46</v>
      </c>
      <c r="F501">
        <v>29</v>
      </c>
      <c r="G501" t="s">
        <v>192</v>
      </c>
      <c r="H501" t="s">
        <v>568</v>
      </c>
      <c r="I501" t="s">
        <v>14</v>
      </c>
      <c r="J501">
        <v>7</v>
      </c>
      <c r="K501">
        <v>51</v>
      </c>
      <c r="L501" t="s">
        <v>20</v>
      </c>
      <c r="M501" t="s">
        <v>28</v>
      </c>
    </row>
    <row r="502" spans="1:13" x14ac:dyDescent="0.3">
      <c r="A502" t="s">
        <v>1057</v>
      </c>
      <c r="B502" s="8">
        <v>45101</v>
      </c>
      <c r="C502" s="9">
        <v>0.16666666666666666</v>
      </c>
      <c r="D502" t="s">
        <v>1058</v>
      </c>
      <c r="E502" t="s">
        <v>46</v>
      </c>
      <c r="F502">
        <v>15</v>
      </c>
      <c r="G502" t="s">
        <v>192</v>
      </c>
      <c r="H502" t="s">
        <v>568</v>
      </c>
      <c r="I502" t="s">
        <v>13</v>
      </c>
      <c r="J502">
        <v>0</v>
      </c>
      <c r="K502">
        <v>49</v>
      </c>
      <c r="L502" t="s">
        <v>19</v>
      </c>
      <c r="M502" t="s">
        <v>28</v>
      </c>
    </row>
    <row r="503" spans="1:13" x14ac:dyDescent="0.3">
      <c r="A503" t="s">
        <v>1059</v>
      </c>
      <c r="B503" s="8">
        <v>45446</v>
      </c>
      <c r="C503" s="9">
        <v>0.54791666666666672</v>
      </c>
      <c r="D503" t="s">
        <v>1060</v>
      </c>
      <c r="E503" t="s">
        <v>46</v>
      </c>
      <c r="F503">
        <v>48</v>
      </c>
      <c r="G503" t="s">
        <v>192</v>
      </c>
      <c r="H503" t="s">
        <v>568</v>
      </c>
      <c r="I503" t="s">
        <v>13</v>
      </c>
      <c r="J503">
        <v>1</v>
      </c>
      <c r="K503">
        <v>32</v>
      </c>
      <c r="L503" t="s">
        <v>22</v>
      </c>
      <c r="M503" t="s">
        <v>28</v>
      </c>
    </row>
    <row r="504" spans="1:13" x14ac:dyDescent="0.3">
      <c r="A504" t="s">
        <v>1061</v>
      </c>
      <c r="B504" s="8">
        <v>45445</v>
      </c>
      <c r="C504" s="9">
        <v>0.75277777777777777</v>
      </c>
      <c r="D504" t="s">
        <v>1062</v>
      </c>
      <c r="E504" t="s">
        <v>46</v>
      </c>
      <c r="F504">
        <v>35</v>
      </c>
      <c r="G504" t="s">
        <v>192</v>
      </c>
      <c r="H504" t="s">
        <v>568</v>
      </c>
      <c r="I504" t="s">
        <v>13</v>
      </c>
      <c r="J504">
        <v>5</v>
      </c>
      <c r="K504">
        <v>57</v>
      </c>
      <c r="L504" t="s">
        <v>21</v>
      </c>
      <c r="M504" t="s">
        <v>28</v>
      </c>
    </row>
    <row r="505" spans="1:13" x14ac:dyDescent="0.3">
      <c r="A505" t="s">
        <v>1063</v>
      </c>
      <c r="B505" s="8">
        <v>45101</v>
      </c>
      <c r="C505" s="9">
        <v>0.21180555555555555</v>
      </c>
      <c r="D505" t="s">
        <v>1064</v>
      </c>
      <c r="E505" t="s">
        <v>46</v>
      </c>
      <c r="F505">
        <v>14</v>
      </c>
      <c r="G505" t="s">
        <v>47</v>
      </c>
      <c r="H505" t="s">
        <v>568</v>
      </c>
      <c r="I505" t="s">
        <v>14</v>
      </c>
      <c r="J505">
        <v>6</v>
      </c>
      <c r="K505">
        <v>57</v>
      </c>
      <c r="L505" t="s">
        <v>19</v>
      </c>
      <c r="M505" t="s">
        <v>28</v>
      </c>
    </row>
    <row r="506" spans="1:13" x14ac:dyDescent="0.3">
      <c r="A506" t="s">
        <v>1065</v>
      </c>
      <c r="B506" s="8">
        <v>45450</v>
      </c>
      <c r="C506" s="9">
        <v>0.3659722222222222</v>
      </c>
      <c r="D506" t="s">
        <v>1066</v>
      </c>
      <c r="E506" t="s">
        <v>46</v>
      </c>
      <c r="F506">
        <v>21</v>
      </c>
      <c r="G506" t="s">
        <v>47</v>
      </c>
      <c r="H506" t="s">
        <v>568</v>
      </c>
      <c r="I506" t="s">
        <v>13</v>
      </c>
      <c r="J506">
        <v>5</v>
      </c>
      <c r="K506">
        <v>47</v>
      </c>
      <c r="L506" t="s">
        <v>20</v>
      </c>
      <c r="M506" t="s">
        <v>28</v>
      </c>
    </row>
    <row r="507" spans="1:13" x14ac:dyDescent="0.3">
      <c r="A507" t="s">
        <v>1067</v>
      </c>
      <c r="B507" s="8">
        <v>45104</v>
      </c>
      <c r="C507" s="9">
        <v>0.82430555555555551</v>
      </c>
      <c r="D507" t="s">
        <v>1068</v>
      </c>
      <c r="E507" t="s">
        <v>91</v>
      </c>
      <c r="F507">
        <v>70</v>
      </c>
      <c r="G507" t="s">
        <v>47</v>
      </c>
      <c r="H507" t="s">
        <v>568</v>
      </c>
      <c r="I507" t="s">
        <v>14</v>
      </c>
      <c r="J507">
        <v>4</v>
      </c>
      <c r="K507">
        <v>44</v>
      </c>
      <c r="L507" t="s">
        <v>24</v>
      </c>
      <c r="M507" t="s">
        <v>28</v>
      </c>
    </row>
    <row r="508" spans="1:13" x14ac:dyDescent="0.3">
      <c r="A508" t="s">
        <v>1069</v>
      </c>
      <c r="B508" s="8">
        <v>45106</v>
      </c>
      <c r="C508" s="9">
        <v>0.59791666666666665</v>
      </c>
      <c r="D508" t="s">
        <v>1070</v>
      </c>
      <c r="E508" t="s">
        <v>91</v>
      </c>
      <c r="F508">
        <v>58</v>
      </c>
      <c r="G508" t="s">
        <v>451</v>
      </c>
      <c r="H508" t="s">
        <v>48</v>
      </c>
      <c r="I508" t="s">
        <v>14</v>
      </c>
      <c r="J508">
        <v>5</v>
      </c>
      <c r="K508">
        <v>43</v>
      </c>
      <c r="L508" t="s">
        <v>23</v>
      </c>
      <c r="M508" t="s">
        <v>28</v>
      </c>
    </row>
    <row r="509" spans="1:13" x14ac:dyDescent="0.3">
      <c r="A509" t="s">
        <v>1071</v>
      </c>
      <c r="B509" s="8">
        <v>45098</v>
      </c>
      <c r="C509" s="9">
        <v>0.96388888888888891</v>
      </c>
      <c r="D509" t="s">
        <v>1072</v>
      </c>
      <c r="E509" t="s">
        <v>46</v>
      </c>
      <c r="F509">
        <v>2</v>
      </c>
      <c r="G509" t="s">
        <v>451</v>
      </c>
      <c r="H509" t="s">
        <v>48</v>
      </c>
      <c r="I509" t="s">
        <v>14</v>
      </c>
      <c r="J509">
        <v>7</v>
      </c>
      <c r="K509">
        <v>32</v>
      </c>
      <c r="L509" t="s">
        <v>18</v>
      </c>
      <c r="M509" t="s">
        <v>28</v>
      </c>
    </row>
    <row r="510" spans="1:13" x14ac:dyDescent="0.3">
      <c r="A510" t="s">
        <v>1073</v>
      </c>
      <c r="B510" s="8">
        <v>45446</v>
      </c>
      <c r="C510" s="9">
        <v>0.18819444444444444</v>
      </c>
      <c r="D510" t="s">
        <v>1074</v>
      </c>
      <c r="E510" t="s">
        <v>46</v>
      </c>
      <c r="F510">
        <v>74</v>
      </c>
      <c r="G510" t="s">
        <v>451</v>
      </c>
      <c r="H510" t="s">
        <v>48</v>
      </c>
      <c r="I510" t="s">
        <v>14</v>
      </c>
      <c r="J510">
        <v>10</v>
      </c>
      <c r="K510">
        <v>32</v>
      </c>
      <c r="L510" t="s">
        <v>25</v>
      </c>
      <c r="M510" t="s">
        <v>28</v>
      </c>
    </row>
    <row r="511" spans="1:13" x14ac:dyDescent="0.3">
      <c r="A511" t="s">
        <v>1075</v>
      </c>
      <c r="B511" s="8">
        <v>45107</v>
      </c>
      <c r="C511" s="9">
        <v>0.65763888888888888</v>
      </c>
      <c r="D511" t="s">
        <v>1076</v>
      </c>
      <c r="E511" t="s">
        <v>46</v>
      </c>
      <c r="F511">
        <v>26</v>
      </c>
      <c r="G511" t="s">
        <v>451</v>
      </c>
      <c r="H511" t="s">
        <v>48</v>
      </c>
      <c r="I511" t="s">
        <v>13</v>
      </c>
      <c r="J511">
        <v>1</v>
      </c>
      <c r="K511">
        <v>33</v>
      </c>
      <c r="L511" t="s">
        <v>20</v>
      </c>
      <c r="M511" t="s">
        <v>28</v>
      </c>
    </row>
    <row r="512" spans="1:13" x14ac:dyDescent="0.3">
      <c r="A512" t="s">
        <v>1077</v>
      </c>
      <c r="B512" s="8">
        <v>45453</v>
      </c>
      <c r="C512" s="9">
        <v>0.7944444444444444</v>
      </c>
      <c r="D512" t="s">
        <v>1078</v>
      </c>
      <c r="E512" t="s">
        <v>91</v>
      </c>
      <c r="F512">
        <v>53</v>
      </c>
      <c r="G512" t="s">
        <v>451</v>
      </c>
      <c r="H512" t="s">
        <v>48</v>
      </c>
      <c r="I512" t="s">
        <v>13</v>
      </c>
      <c r="J512">
        <v>10</v>
      </c>
      <c r="K512">
        <v>33</v>
      </c>
      <c r="L512" t="s">
        <v>23</v>
      </c>
      <c r="M512" t="s">
        <v>28</v>
      </c>
    </row>
    <row r="513" spans="1:13" x14ac:dyDescent="0.3">
      <c r="A513" t="s">
        <v>1079</v>
      </c>
      <c r="B513" s="8">
        <v>45452</v>
      </c>
      <c r="C513" s="9">
        <v>0.75416666666666665</v>
      </c>
      <c r="D513" t="s">
        <v>1080</v>
      </c>
      <c r="E513" t="s">
        <v>46</v>
      </c>
      <c r="F513">
        <v>53</v>
      </c>
      <c r="G513" t="s">
        <v>451</v>
      </c>
      <c r="H513" t="s">
        <v>48</v>
      </c>
      <c r="I513" t="s">
        <v>13</v>
      </c>
      <c r="J513">
        <v>10</v>
      </c>
      <c r="K513">
        <v>54</v>
      </c>
      <c r="L513" t="s">
        <v>23</v>
      </c>
      <c r="M513" t="s">
        <v>28</v>
      </c>
    </row>
    <row r="514" spans="1:13" x14ac:dyDescent="0.3">
      <c r="A514" t="s">
        <v>1081</v>
      </c>
      <c r="B514" s="8">
        <v>45458</v>
      </c>
      <c r="C514" s="9">
        <v>0.56944444444444442</v>
      </c>
      <c r="D514" t="s">
        <v>1082</v>
      </c>
      <c r="E514" t="s">
        <v>91</v>
      </c>
      <c r="F514">
        <v>72</v>
      </c>
      <c r="G514" t="s">
        <v>376</v>
      </c>
      <c r="H514" t="s">
        <v>48</v>
      </c>
      <c r="I514" t="s">
        <v>13</v>
      </c>
      <c r="J514">
        <v>7</v>
      </c>
      <c r="K514">
        <v>33</v>
      </c>
      <c r="L514" t="s">
        <v>25</v>
      </c>
      <c r="M514" t="s">
        <v>28</v>
      </c>
    </row>
    <row r="515" spans="1:13" x14ac:dyDescent="0.3">
      <c r="A515" t="s">
        <v>1083</v>
      </c>
      <c r="B515" s="8">
        <v>45459</v>
      </c>
      <c r="C515" s="9">
        <v>2.2916666666666665E-2</v>
      </c>
      <c r="D515" t="s">
        <v>1084</v>
      </c>
      <c r="E515" t="s">
        <v>91</v>
      </c>
      <c r="F515">
        <v>10</v>
      </c>
      <c r="G515" t="s">
        <v>376</v>
      </c>
      <c r="H515" t="s">
        <v>48</v>
      </c>
      <c r="I515" t="s">
        <v>14</v>
      </c>
      <c r="J515">
        <v>5</v>
      </c>
      <c r="K515">
        <v>41</v>
      </c>
      <c r="L515" t="s">
        <v>18</v>
      </c>
      <c r="M515" t="s">
        <v>28</v>
      </c>
    </row>
    <row r="516" spans="1:13" x14ac:dyDescent="0.3">
      <c r="A516" t="s">
        <v>1085</v>
      </c>
      <c r="B516" s="8">
        <v>45455</v>
      </c>
      <c r="C516" s="9">
        <v>0.52638888888888891</v>
      </c>
      <c r="D516" t="s">
        <v>1086</v>
      </c>
      <c r="E516" t="s">
        <v>91</v>
      </c>
      <c r="F516">
        <v>1</v>
      </c>
      <c r="G516" t="s">
        <v>376</v>
      </c>
      <c r="H516" t="s">
        <v>48</v>
      </c>
      <c r="I516" t="s">
        <v>13</v>
      </c>
      <c r="J516">
        <v>2</v>
      </c>
      <c r="K516">
        <v>41</v>
      </c>
      <c r="L516" t="s">
        <v>18</v>
      </c>
      <c r="M516" t="s">
        <v>28</v>
      </c>
    </row>
    <row r="517" spans="1:13" x14ac:dyDescent="0.3">
      <c r="A517" t="s">
        <v>1087</v>
      </c>
      <c r="B517" s="8">
        <v>45452</v>
      </c>
      <c r="C517" s="9">
        <v>2.9861111111111113E-2</v>
      </c>
      <c r="D517" t="s">
        <v>1088</v>
      </c>
      <c r="E517" t="s">
        <v>46</v>
      </c>
      <c r="F517">
        <v>13</v>
      </c>
      <c r="G517" t="s">
        <v>376</v>
      </c>
      <c r="H517" t="s">
        <v>48</v>
      </c>
      <c r="I517" t="s">
        <v>13</v>
      </c>
      <c r="J517">
        <v>0</v>
      </c>
      <c r="K517">
        <v>38</v>
      </c>
      <c r="L517" t="s">
        <v>19</v>
      </c>
      <c r="M517" t="s">
        <v>28</v>
      </c>
    </row>
    <row r="518" spans="1:13" x14ac:dyDescent="0.3">
      <c r="A518" t="s">
        <v>1089</v>
      </c>
      <c r="B518" s="8">
        <v>45455</v>
      </c>
      <c r="C518" s="9">
        <v>0.73402777777777772</v>
      </c>
      <c r="D518" t="s">
        <v>1090</v>
      </c>
      <c r="E518" t="s">
        <v>46</v>
      </c>
      <c r="F518">
        <v>47</v>
      </c>
      <c r="G518" t="s">
        <v>376</v>
      </c>
      <c r="H518" t="s">
        <v>48</v>
      </c>
      <c r="I518" t="s">
        <v>13</v>
      </c>
      <c r="J518">
        <v>4</v>
      </c>
      <c r="K518">
        <v>43</v>
      </c>
      <c r="L518" t="s">
        <v>22</v>
      </c>
      <c r="M518" t="s">
        <v>28</v>
      </c>
    </row>
    <row r="519" spans="1:13" x14ac:dyDescent="0.3">
      <c r="A519" t="s">
        <v>1091</v>
      </c>
      <c r="B519" s="8">
        <v>45106</v>
      </c>
      <c r="C519" s="9">
        <v>0.63402777777777775</v>
      </c>
      <c r="D519" t="s">
        <v>1092</v>
      </c>
      <c r="E519" t="s">
        <v>46</v>
      </c>
      <c r="F519">
        <v>26</v>
      </c>
      <c r="G519" t="s">
        <v>376</v>
      </c>
      <c r="H519" t="s">
        <v>48</v>
      </c>
      <c r="I519" t="s">
        <v>13</v>
      </c>
      <c r="J519">
        <v>6</v>
      </c>
      <c r="K519">
        <v>35</v>
      </c>
      <c r="L519" t="s">
        <v>20</v>
      </c>
      <c r="M519" t="s">
        <v>28</v>
      </c>
    </row>
    <row r="520" spans="1:13" x14ac:dyDescent="0.3">
      <c r="A520" t="s">
        <v>1093</v>
      </c>
      <c r="B520" s="8">
        <v>45105</v>
      </c>
      <c r="C520" s="9">
        <v>0.71180555555555558</v>
      </c>
      <c r="D520" t="s">
        <v>1094</v>
      </c>
      <c r="E520" t="s">
        <v>46</v>
      </c>
      <c r="F520">
        <v>77</v>
      </c>
      <c r="G520" t="s">
        <v>376</v>
      </c>
      <c r="H520" t="s">
        <v>48</v>
      </c>
      <c r="I520" t="s">
        <v>13</v>
      </c>
      <c r="J520">
        <v>10</v>
      </c>
      <c r="K520">
        <v>48</v>
      </c>
      <c r="L520" t="s">
        <v>25</v>
      </c>
      <c r="M520" t="s">
        <v>28</v>
      </c>
    </row>
    <row r="521" spans="1:13" x14ac:dyDescent="0.3">
      <c r="A521" t="s">
        <v>1095</v>
      </c>
      <c r="B521" s="8">
        <v>45101</v>
      </c>
      <c r="C521" s="9">
        <v>0.2013888888888889</v>
      </c>
      <c r="D521" t="s">
        <v>1096</v>
      </c>
      <c r="E521" t="s">
        <v>91</v>
      </c>
      <c r="F521">
        <v>4</v>
      </c>
      <c r="G521" t="s">
        <v>520</v>
      </c>
      <c r="H521" t="s">
        <v>48</v>
      </c>
      <c r="I521" t="s">
        <v>14</v>
      </c>
      <c r="J521">
        <v>7</v>
      </c>
      <c r="K521">
        <v>36</v>
      </c>
      <c r="L521" t="s">
        <v>18</v>
      </c>
      <c r="M521" t="s">
        <v>28</v>
      </c>
    </row>
    <row r="522" spans="1:13" x14ac:dyDescent="0.3">
      <c r="A522" t="s">
        <v>1097</v>
      </c>
      <c r="B522" s="8">
        <v>45106</v>
      </c>
      <c r="C522" s="9">
        <v>0.37083333333333335</v>
      </c>
      <c r="D522" t="s">
        <v>1098</v>
      </c>
      <c r="E522" t="s">
        <v>46</v>
      </c>
      <c r="F522">
        <v>78</v>
      </c>
      <c r="G522" t="s">
        <v>520</v>
      </c>
      <c r="H522" t="s">
        <v>48</v>
      </c>
      <c r="I522" t="s">
        <v>13</v>
      </c>
      <c r="J522">
        <v>1</v>
      </c>
      <c r="K522">
        <v>51</v>
      </c>
      <c r="L522" t="s">
        <v>25</v>
      </c>
      <c r="M522" t="s">
        <v>28</v>
      </c>
    </row>
    <row r="523" spans="1:13" x14ac:dyDescent="0.3">
      <c r="A523" t="s">
        <v>1099</v>
      </c>
      <c r="B523" s="8">
        <v>45081</v>
      </c>
      <c r="C523" s="9">
        <v>0.96944444444444444</v>
      </c>
      <c r="D523" t="s">
        <v>1100</v>
      </c>
      <c r="E523" t="s">
        <v>46</v>
      </c>
      <c r="F523">
        <v>59</v>
      </c>
      <c r="G523" t="s">
        <v>520</v>
      </c>
      <c r="H523" t="s">
        <v>48</v>
      </c>
      <c r="I523" t="s">
        <v>13</v>
      </c>
      <c r="J523">
        <v>5</v>
      </c>
      <c r="K523">
        <v>52</v>
      </c>
      <c r="L523" t="s">
        <v>23</v>
      </c>
      <c r="M523" t="s">
        <v>28</v>
      </c>
    </row>
    <row r="524" spans="1:13" x14ac:dyDescent="0.3">
      <c r="A524" t="s">
        <v>1101</v>
      </c>
      <c r="B524" s="8">
        <v>45104</v>
      </c>
      <c r="C524" s="9">
        <v>0.72499999999999998</v>
      </c>
      <c r="D524" t="s">
        <v>1102</v>
      </c>
      <c r="E524" t="s">
        <v>46</v>
      </c>
      <c r="F524">
        <v>12</v>
      </c>
      <c r="G524" t="s">
        <v>520</v>
      </c>
      <c r="H524" t="s">
        <v>48</v>
      </c>
      <c r="I524" t="s">
        <v>13</v>
      </c>
      <c r="J524">
        <v>8</v>
      </c>
      <c r="K524">
        <v>57</v>
      </c>
      <c r="L524" t="s">
        <v>19</v>
      </c>
      <c r="M524" t="s">
        <v>28</v>
      </c>
    </row>
    <row r="525" spans="1:13" x14ac:dyDescent="0.3">
      <c r="A525" t="s">
        <v>1103</v>
      </c>
      <c r="B525" s="8">
        <v>45084</v>
      </c>
      <c r="C525" s="9">
        <v>1.4583333333333334E-2</v>
      </c>
      <c r="D525" t="s">
        <v>1104</v>
      </c>
      <c r="E525" t="s">
        <v>46</v>
      </c>
      <c r="F525">
        <v>49</v>
      </c>
      <c r="G525" t="s">
        <v>520</v>
      </c>
      <c r="H525" t="s">
        <v>48</v>
      </c>
      <c r="I525" t="s">
        <v>13</v>
      </c>
      <c r="J525">
        <v>9</v>
      </c>
      <c r="K525">
        <v>40</v>
      </c>
      <c r="L525" t="s">
        <v>22</v>
      </c>
      <c r="M525" t="s">
        <v>28</v>
      </c>
    </row>
    <row r="526" spans="1:13" x14ac:dyDescent="0.3">
      <c r="A526" t="s">
        <v>1105</v>
      </c>
      <c r="B526" s="8">
        <v>45105</v>
      </c>
      <c r="C526" s="9">
        <v>0.15277777777777779</v>
      </c>
      <c r="D526" t="s">
        <v>1106</v>
      </c>
      <c r="E526" t="s">
        <v>91</v>
      </c>
      <c r="F526">
        <v>21</v>
      </c>
      <c r="G526" t="s">
        <v>547</v>
      </c>
      <c r="H526" t="s">
        <v>48</v>
      </c>
      <c r="I526" t="s">
        <v>14</v>
      </c>
      <c r="J526">
        <v>9</v>
      </c>
      <c r="K526">
        <v>47</v>
      </c>
      <c r="L526" t="s">
        <v>20</v>
      </c>
      <c r="M526" t="s">
        <v>28</v>
      </c>
    </row>
    <row r="527" spans="1:13" x14ac:dyDescent="0.3">
      <c r="A527" t="s">
        <v>1107</v>
      </c>
      <c r="B527" s="8">
        <v>45452</v>
      </c>
      <c r="C527" s="9">
        <v>0.36875000000000002</v>
      </c>
      <c r="D527" t="s">
        <v>1108</v>
      </c>
      <c r="E527" t="s">
        <v>46</v>
      </c>
      <c r="F527">
        <v>70</v>
      </c>
      <c r="G527" t="s">
        <v>547</v>
      </c>
      <c r="H527" t="s">
        <v>48</v>
      </c>
      <c r="I527" t="s">
        <v>14</v>
      </c>
      <c r="J527">
        <v>5</v>
      </c>
      <c r="K527">
        <v>33</v>
      </c>
      <c r="L527" t="s">
        <v>24</v>
      </c>
      <c r="M527" t="s">
        <v>28</v>
      </c>
    </row>
    <row r="528" spans="1:13" x14ac:dyDescent="0.3">
      <c r="A528" t="s">
        <v>1109</v>
      </c>
      <c r="B528" s="8">
        <v>45454</v>
      </c>
      <c r="C528" s="9">
        <v>0.83750000000000002</v>
      </c>
      <c r="D528" t="s">
        <v>1110</v>
      </c>
      <c r="E528" t="s">
        <v>91</v>
      </c>
      <c r="F528">
        <v>60</v>
      </c>
      <c r="G528" t="s">
        <v>547</v>
      </c>
      <c r="H528" t="s">
        <v>48</v>
      </c>
      <c r="I528" t="s">
        <v>13</v>
      </c>
      <c r="J528">
        <v>1</v>
      </c>
      <c r="K528">
        <v>46</v>
      </c>
      <c r="L528" t="s">
        <v>23</v>
      </c>
      <c r="M528" t="s">
        <v>28</v>
      </c>
    </row>
    <row r="529" spans="1:13" x14ac:dyDescent="0.3">
      <c r="A529" t="s">
        <v>1111</v>
      </c>
      <c r="B529" s="8">
        <v>45084</v>
      </c>
      <c r="C529" s="9">
        <v>0.56805555555555554</v>
      </c>
      <c r="D529" t="s">
        <v>1112</v>
      </c>
      <c r="E529" t="s">
        <v>91</v>
      </c>
      <c r="F529">
        <v>65</v>
      </c>
      <c r="G529" t="s">
        <v>547</v>
      </c>
      <c r="H529" t="s">
        <v>48</v>
      </c>
      <c r="I529" t="s">
        <v>13</v>
      </c>
      <c r="J529">
        <v>6</v>
      </c>
      <c r="K529">
        <v>43</v>
      </c>
      <c r="L529" t="s">
        <v>24</v>
      </c>
      <c r="M529" t="s">
        <v>28</v>
      </c>
    </row>
    <row r="530" spans="1:13" x14ac:dyDescent="0.3">
      <c r="A530" t="s">
        <v>1113</v>
      </c>
      <c r="B530" s="8">
        <v>45466</v>
      </c>
      <c r="C530" s="9">
        <v>0.70902777777777781</v>
      </c>
      <c r="D530" t="s">
        <v>1114</v>
      </c>
      <c r="E530" t="s">
        <v>46</v>
      </c>
      <c r="F530">
        <v>36</v>
      </c>
      <c r="G530" t="s">
        <v>547</v>
      </c>
      <c r="H530" t="s">
        <v>48</v>
      </c>
      <c r="I530" t="s">
        <v>13</v>
      </c>
      <c r="J530">
        <v>3</v>
      </c>
      <c r="K530">
        <v>31</v>
      </c>
      <c r="L530" t="s">
        <v>21</v>
      </c>
      <c r="M530" t="s">
        <v>28</v>
      </c>
    </row>
    <row r="531" spans="1:13" x14ac:dyDescent="0.3">
      <c r="A531" t="s">
        <v>1115</v>
      </c>
      <c r="B531" s="8">
        <v>45448</v>
      </c>
      <c r="C531" s="9">
        <v>0.78472222222222221</v>
      </c>
      <c r="D531" t="s">
        <v>1116</v>
      </c>
      <c r="E531" t="s">
        <v>46</v>
      </c>
      <c r="F531">
        <v>34</v>
      </c>
      <c r="G531" t="s">
        <v>297</v>
      </c>
      <c r="H531" t="s">
        <v>48</v>
      </c>
      <c r="I531" t="s">
        <v>14</v>
      </c>
      <c r="J531">
        <v>6</v>
      </c>
      <c r="K531">
        <v>41</v>
      </c>
      <c r="L531" t="s">
        <v>21</v>
      </c>
      <c r="M531" t="s">
        <v>28</v>
      </c>
    </row>
    <row r="532" spans="1:13" x14ac:dyDescent="0.3">
      <c r="A532" t="s">
        <v>1117</v>
      </c>
      <c r="B532" s="8">
        <v>45102</v>
      </c>
      <c r="C532" s="9">
        <v>0.22569444444444445</v>
      </c>
      <c r="D532" t="s">
        <v>1118</v>
      </c>
      <c r="E532" t="s">
        <v>46</v>
      </c>
      <c r="F532">
        <v>68</v>
      </c>
      <c r="G532" t="s">
        <v>297</v>
      </c>
      <c r="H532" t="s">
        <v>48</v>
      </c>
      <c r="I532" t="s">
        <v>14</v>
      </c>
      <c r="J532">
        <v>10</v>
      </c>
      <c r="K532">
        <v>45</v>
      </c>
      <c r="L532" t="s">
        <v>24</v>
      </c>
      <c r="M532" t="s">
        <v>28</v>
      </c>
    </row>
    <row r="533" spans="1:13" x14ac:dyDescent="0.3">
      <c r="A533" t="s">
        <v>1119</v>
      </c>
      <c r="B533" s="8">
        <v>45102</v>
      </c>
      <c r="C533" s="9">
        <v>0.89722222222222225</v>
      </c>
      <c r="D533" t="s">
        <v>1120</v>
      </c>
      <c r="E533" t="s">
        <v>91</v>
      </c>
      <c r="F533">
        <v>47</v>
      </c>
      <c r="G533" t="s">
        <v>297</v>
      </c>
      <c r="H533" t="s">
        <v>48</v>
      </c>
      <c r="I533" t="s">
        <v>14</v>
      </c>
      <c r="J533">
        <v>3</v>
      </c>
      <c r="K533">
        <v>60</v>
      </c>
      <c r="L533" t="s">
        <v>22</v>
      </c>
      <c r="M533" t="s">
        <v>28</v>
      </c>
    </row>
    <row r="534" spans="1:13" x14ac:dyDescent="0.3">
      <c r="A534" t="s">
        <v>1121</v>
      </c>
      <c r="B534" s="8">
        <v>45454</v>
      </c>
      <c r="C534" s="9">
        <v>0.31666666666666665</v>
      </c>
      <c r="D534" t="s">
        <v>1122</v>
      </c>
      <c r="E534" t="s">
        <v>91</v>
      </c>
      <c r="F534">
        <v>60</v>
      </c>
      <c r="G534" t="s">
        <v>297</v>
      </c>
      <c r="H534" t="s">
        <v>48</v>
      </c>
      <c r="I534" t="s">
        <v>14</v>
      </c>
      <c r="J534">
        <v>3</v>
      </c>
      <c r="K534">
        <v>44</v>
      </c>
      <c r="L534" t="s">
        <v>23</v>
      </c>
      <c r="M534" t="s">
        <v>28</v>
      </c>
    </row>
    <row r="535" spans="1:13" x14ac:dyDescent="0.3">
      <c r="A535" t="s">
        <v>1123</v>
      </c>
      <c r="B535" s="8">
        <v>45450</v>
      </c>
      <c r="C535" s="9">
        <v>0.66666666666666663</v>
      </c>
      <c r="D535" t="s">
        <v>1124</v>
      </c>
      <c r="E535" t="s">
        <v>91</v>
      </c>
      <c r="F535">
        <v>67</v>
      </c>
      <c r="G535" t="s">
        <v>297</v>
      </c>
      <c r="H535" t="s">
        <v>48</v>
      </c>
      <c r="I535" t="s">
        <v>14</v>
      </c>
      <c r="J535">
        <v>7</v>
      </c>
      <c r="K535">
        <v>58</v>
      </c>
      <c r="L535" t="s">
        <v>24</v>
      </c>
      <c r="M535" t="s">
        <v>28</v>
      </c>
    </row>
    <row r="536" spans="1:13" x14ac:dyDescent="0.3">
      <c r="A536" t="s">
        <v>1125</v>
      </c>
      <c r="B536" s="8">
        <v>45468</v>
      </c>
      <c r="C536" s="9">
        <v>0.41875000000000001</v>
      </c>
      <c r="D536" t="s">
        <v>1126</v>
      </c>
      <c r="E536" t="s">
        <v>46</v>
      </c>
      <c r="F536">
        <v>72</v>
      </c>
      <c r="G536" t="s">
        <v>297</v>
      </c>
      <c r="H536" t="s">
        <v>48</v>
      </c>
      <c r="I536" t="s">
        <v>14</v>
      </c>
      <c r="J536">
        <v>2</v>
      </c>
      <c r="K536">
        <v>52</v>
      </c>
      <c r="L536" t="s">
        <v>25</v>
      </c>
      <c r="M536" t="s">
        <v>28</v>
      </c>
    </row>
    <row r="537" spans="1:13" x14ac:dyDescent="0.3">
      <c r="A537" t="s">
        <v>1127</v>
      </c>
      <c r="B537" s="8">
        <v>45101</v>
      </c>
      <c r="C537" s="9">
        <v>0.1</v>
      </c>
      <c r="D537" t="s">
        <v>1128</v>
      </c>
      <c r="E537" t="s">
        <v>46</v>
      </c>
      <c r="F537">
        <v>47</v>
      </c>
      <c r="G537" t="s">
        <v>297</v>
      </c>
      <c r="H537" t="s">
        <v>48</v>
      </c>
      <c r="I537" t="s">
        <v>14</v>
      </c>
      <c r="J537">
        <v>3</v>
      </c>
      <c r="K537">
        <v>51</v>
      </c>
      <c r="L537" t="s">
        <v>22</v>
      </c>
      <c r="M537" t="s">
        <v>28</v>
      </c>
    </row>
    <row r="538" spans="1:13" x14ac:dyDescent="0.3">
      <c r="A538" t="s">
        <v>1129</v>
      </c>
      <c r="B538" s="8">
        <v>45082</v>
      </c>
      <c r="C538" s="9">
        <v>1.8749999999999999E-2</v>
      </c>
      <c r="D538" t="s">
        <v>1130</v>
      </c>
      <c r="E538" t="s">
        <v>46</v>
      </c>
      <c r="F538">
        <v>11</v>
      </c>
      <c r="G538" t="s">
        <v>297</v>
      </c>
      <c r="H538" t="s">
        <v>48</v>
      </c>
      <c r="I538" t="s">
        <v>14</v>
      </c>
      <c r="J538">
        <v>5</v>
      </c>
      <c r="K538">
        <v>36</v>
      </c>
      <c r="L538" t="s">
        <v>19</v>
      </c>
      <c r="M538" t="s">
        <v>28</v>
      </c>
    </row>
    <row r="539" spans="1:13" x14ac:dyDescent="0.3">
      <c r="A539" t="s">
        <v>1131</v>
      </c>
      <c r="B539" s="8">
        <v>45103</v>
      </c>
      <c r="C539" s="9">
        <v>0.65555555555555556</v>
      </c>
      <c r="D539" t="s">
        <v>1132</v>
      </c>
      <c r="E539" t="s">
        <v>46</v>
      </c>
      <c r="F539">
        <v>39</v>
      </c>
      <c r="G539" t="s">
        <v>297</v>
      </c>
      <c r="H539" t="s">
        <v>48</v>
      </c>
      <c r="I539" t="s">
        <v>14</v>
      </c>
      <c r="J539">
        <v>10</v>
      </c>
      <c r="K539">
        <v>36</v>
      </c>
      <c r="L539" t="s">
        <v>21</v>
      </c>
      <c r="M539" t="s">
        <v>28</v>
      </c>
    </row>
    <row r="540" spans="1:13" x14ac:dyDescent="0.3">
      <c r="A540" t="s">
        <v>1133</v>
      </c>
      <c r="B540" s="8">
        <v>45454</v>
      </c>
      <c r="C540" s="9">
        <v>0.47361111111111109</v>
      </c>
      <c r="D540" t="s">
        <v>1134</v>
      </c>
      <c r="E540" t="s">
        <v>91</v>
      </c>
      <c r="F540">
        <v>40</v>
      </c>
      <c r="G540" t="s">
        <v>297</v>
      </c>
      <c r="H540" t="s">
        <v>48</v>
      </c>
      <c r="I540" t="s">
        <v>13</v>
      </c>
      <c r="J540">
        <v>1</v>
      </c>
      <c r="K540">
        <v>51</v>
      </c>
      <c r="L540" t="s">
        <v>21</v>
      </c>
      <c r="M540" t="s">
        <v>28</v>
      </c>
    </row>
    <row r="541" spans="1:13" x14ac:dyDescent="0.3">
      <c r="A541" t="s">
        <v>1135</v>
      </c>
      <c r="B541" s="8">
        <v>45470</v>
      </c>
      <c r="C541" s="9">
        <v>0.3034722222222222</v>
      </c>
      <c r="D541" t="s">
        <v>1136</v>
      </c>
      <c r="E541" t="s">
        <v>91</v>
      </c>
      <c r="F541">
        <v>21</v>
      </c>
      <c r="G541" t="s">
        <v>297</v>
      </c>
      <c r="H541" t="s">
        <v>48</v>
      </c>
      <c r="I541" t="s">
        <v>13</v>
      </c>
      <c r="J541">
        <v>5</v>
      </c>
      <c r="K541">
        <v>50</v>
      </c>
      <c r="L541" t="s">
        <v>20</v>
      </c>
      <c r="M541" t="s">
        <v>28</v>
      </c>
    </row>
    <row r="542" spans="1:13" x14ac:dyDescent="0.3">
      <c r="A542" t="s">
        <v>1137</v>
      </c>
      <c r="B542" s="8">
        <v>45457</v>
      </c>
      <c r="C542" s="9">
        <v>0.64930555555555558</v>
      </c>
      <c r="D542" t="s">
        <v>1138</v>
      </c>
      <c r="E542" t="s">
        <v>91</v>
      </c>
      <c r="F542">
        <v>69</v>
      </c>
      <c r="G542" t="s">
        <v>297</v>
      </c>
      <c r="H542" t="s">
        <v>48</v>
      </c>
      <c r="I542" t="s">
        <v>13</v>
      </c>
      <c r="J542">
        <v>5</v>
      </c>
      <c r="K542">
        <v>39</v>
      </c>
      <c r="L542" t="s">
        <v>24</v>
      </c>
      <c r="M542" t="s">
        <v>28</v>
      </c>
    </row>
    <row r="543" spans="1:13" x14ac:dyDescent="0.3">
      <c r="A543" t="s">
        <v>1139</v>
      </c>
      <c r="B543" s="8">
        <v>45460</v>
      </c>
      <c r="C543" s="9">
        <v>0.66805555555555551</v>
      </c>
      <c r="D543" t="s">
        <v>1140</v>
      </c>
      <c r="E543" t="s">
        <v>91</v>
      </c>
      <c r="F543">
        <v>75</v>
      </c>
      <c r="G543" t="s">
        <v>297</v>
      </c>
      <c r="H543" t="s">
        <v>48</v>
      </c>
      <c r="I543" t="s">
        <v>13</v>
      </c>
      <c r="J543">
        <v>5</v>
      </c>
      <c r="K543">
        <v>54</v>
      </c>
      <c r="L543" t="s">
        <v>25</v>
      </c>
      <c r="M543" t="s">
        <v>28</v>
      </c>
    </row>
    <row r="544" spans="1:13" x14ac:dyDescent="0.3">
      <c r="A544" t="s">
        <v>1141</v>
      </c>
      <c r="B544" s="8">
        <v>45105</v>
      </c>
      <c r="C544" s="9">
        <v>0.28958333333333336</v>
      </c>
      <c r="D544" t="s">
        <v>1142</v>
      </c>
      <c r="E544" t="s">
        <v>46</v>
      </c>
      <c r="F544">
        <v>2</v>
      </c>
      <c r="G544" t="s">
        <v>297</v>
      </c>
      <c r="H544" t="s">
        <v>48</v>
      </c>
      <c r="I544" t="s">
        <v>13</v>
      </c>
      <c r="J544">
        <v>0</v>
      </c>
      <c r="K544">
        <v>60</v>
      </c>
      <c r="L544" t="s">
        <v>18</v>
      </c>
      <c r="M544" t="s">
        <v>28</v>
      </c>
    </row>
    <row r="545" spans="1:13" x14ac:dyDescent="0.3">
      <c r="A545" t="s">
        <v>1143</v>
      </c>
      <c r="B545" s="8">
        <v>45082</v>
      </c>
      <c r="C545" s="9">
        <v>0.81458333333333333</v>
      </c>
      <c r="D545" t="s">
        <v>1144</v>
      </c>
      <c r="E545" t="s">
        <v>46</v>
      </c>
      <c r="F545">
        <v>25</v>
      </c>
      <c r="G545" t="s">
        <v>297</v>
      </c>
      <c r="H545" t="s">
        <v>48</v>
      </c>
      <c r="I545" t="s">
        <v>13</v>
      </c>
      <c r="J545">
        <v>1</v>
      </c>
      <c r="K545">
        <v>35</v>
      </c>
      <c r="L545" t="s">
        <v>20</v>
      </c>
      <c r="M545" t="s">
        <v>28</v>
      </c>
    </row>
    <row r="546" spans="1:13" x14ac:dyDescent="0.3">
      <c r="A546" t="s">
        <v>1145</v>
      </c>
      <c r="B546" s="8">
        <v>45453</v>
      </c>
      <c r="C546" s="9">
        <v>0.23472222222222222</v>
      </c>
      <c r="D546" t="s">
        <v>1146</v>
      </c>
      <c r="E546" t="s">
        <v>46</v>
      </c>
      <c r="F546">
        <v>55</v>
      </c>
      <c r="G546" t="s">
        <v>297</v>
      </c>
      <c r="H546" t="s">
        <v>48</v>
      </c>
      <c r="I546" t="s">
        <v>13</v>
      </c>
      <c r="J546">
        <v>3</v>
      </c>
      <c r="K546">
        <v>39</v>
      </c>
      <c r="L546" t="s">
        <v>23</v>
      </c>
      <c r="M546" t="s">
        <v>28</v>
      </c>
    </row>
    <row r="547" spans="1:13" x14ac:dyDescent="0.3">
      <c r="A547" t="s">
        <v>1147</v>
      </c>
      <c r="B547" s="8">
        <v>45452</v>
      </c>
      <c r="C547" s="9">
        <v>0.57638888888888884</v>
      </c>
      <c r="D547" t="s">
        <v>1148</v>
      </c>
      <c r="E547" t="s">
        <v>46</v>
      </c>
      <c r="F547">
        <v>28</v>
      </c>
      <c r="G547" t="s">
        <v>297</v>
      </c>
      <c r="H547" t="s">
        <v>48</v>
      </c>
      <c r="I547" t="s">
        <v>13</v>
      </c>
      <c r="J547">
        <v>3</v>
      </c>
      <c r="K547">
        <v>44</v>
      </c>
      <c r="L547" t="s">
        <v>20</v>
      </c>
      <c r="M547" t="s">
        <v>28</v>
      </c>
    </row>
    <row r="548" spans="1:13" x14ac:dyDescent="0.3">
      <c r="A548" t="s">
        <v>1149</v>
      </c>
      <c r="B548" s="8">
        <v>45105</v>
      </c>
      <c r="C548" s="9">
        <v>0.96527777777777779</v>
      </c>
      <c r="D548" t="s">
        <v>1150</v>
      </c>
      <c r="E548" t="s">
        <v>46</v>
      </c>
      <c r="F548">
        <v>10</v>
      </c>
      <c r="G548" t="s">
        <v>297</v>
      </c>
      <c r="H548" t="s">
        <v>48</v>
      </c>
      <c r="I548" t="s">
        <v>13</v>
      </c>
      <c r="J548">
        <v>4</v>
      </c>
      <c r="K548">
        <v>45</v>
      </c>
      <c r="L548" t="s">
        <v>18</v>
      </c>
      <c r="M548" t="s">
        <v>28</v>
      </c>
    </row>
    <row r="549" spans="1:13" x14ac:dyDescent="0.3">
      <c r="A549" t="s">
        <v>1151</v>
      </c>
      <c r="B549" s="8">
        <v>45101</v>
      </c>
      <c r="C549" s="9">
        <v>0.40208333333333335</v>
      </c>
      <c r="D549" t="s">
        <v>1152</v>
      </c>
      <c r="E549" t="s">
        <v>46</v>
      </c>
      <c r="F549">
        <v>49</v>
      </c>
      <c r="G549" t="s">
        <v>297</v>
      </c>
      <c r="H549" t="s">
        <v>48</v>
      </c>
      <c r="I549" t="s">
        <v>13</v>
      </c>
      <c r="J549">
        <v>5</v>
      </c>
      <c r="K549">
        <v>51</v>
      </c>
      <c r="L549" t="s">
        <v>22</v>
      </c>
      <c r="M549" t="s">
        <v>28</v>
      </c>
    </row>
    <row r="550" spans="1:13" x14ac:dyDescent="0.3">
      <c r="A550" t="s">
        <v>1153</v>
      </c>
      <c r="B550" s="8">
        <v>45446</v>
      </c>
      <c r="C550" s="9">
        <v>0.91874999999999996</v>
      </c>
      <c r="D550" t="s">
        <v>1154</v>
      </c>
      <c r="E550" t="s">
        <v>46</v>
      </c>
      <c r="F550">
        <v>79</v>
      </c>
      <c r="G550" t="s">
        <v>297</v>
      </c>
      <c r="H550" t="s">
        <v>48</v>
      </c>
      <c r="I550" t="s">
        <v>13</v>
      </c>
      <c r="J550">
        <v>6</v>
      </c>
      <c r="K550">
        <v>58</v>
      </c>
      <c r="L550" t="s">
        <v>25</v>
      </c>
      <c r="M550" t="s">
        <v>28</v>
      </c>
    </row>
    <row r="551" spans="1:13" x14ac:dyDescent="0.3">
      <c r="A551" t="s">
        <v>1155</v>
      </c>
      <c r="B551" s="8">
        <v>45102</v>
      </c>
      <c r="C551" s="9">
        <v>0.33055555555555555</v>
      </c>
      <c r="D551" t="s">
        <v>1156</v>
      </c>
      <c r="E551" t="s">
        <v>91</v>
      </c>
      <c r="F551">
        <v>35</v>
      </c>
      <c r="G551" t="s">
        <v>192</v>
      </c>
      <c r="H551" t="s">
        <v>48</v>
      </c>
      <c r="I551" t="s">
        <v>14</v>
      </c>
      <c r="J551">
        <v>8</v>
      </c>
      <c r="K551">
        <v>35</v>
      </c>
      <c r="L551" t="s">
        <v>21</v>
      </c>
      <c r="M551" t="s">
        <v>28</v>
      </c>
    </row>
    <row r="552" spans="1:13" x14ac:dyDescent="0.3">
      <c r="A552" t="s">
        <v>1157</v>
      </c>
      <c r="B552" s="8">
        <v>45446</v>
      </c>
      <c r="C552" s="9">
        <v>0.81736111111111109</v>
      </c>
      <c r="D552" t="s">
        <v>1158</v>
      </c>
      <c r="E552" t="s">
        <v>91</v>
      </c>
      <c r="F552">
        <v>67</v>
      </c>
      <c r="G552" t="s">
        <v>192</v>
      </c>
      <c r="H552" t="s">
        <v>48</v>
      </c>
      <c r="I552" t="s">
        <v>14</v>
      </c>
      <c r="J552">
        <v>1</v>
      </c>
      <c r="K552">
        <v>40</v>
      </c>
      <c r="L552" t="s">
        <v>24</v>
      </c>
      <c r="M552" t="s">
        <v>28</v>
      </c>
    </row>
    <row r="553" spans="1:13" x14ac:dyDescent="0.3">
      <c r="A553" t="s">
        <v>1159</v>
      </c>
      <c r="B553" s="8">
        <v>45078</v>
      </c>
      <c r="C553" s="9">
        <v>0.59513888888888888</v>
      </c>
      <c r="D553" t="s">
        <v>1160</v>
      </c>
      <c r="E553" t="s">
        <v>91</v>
      </c>
      <c r="F553">
        <v>70</v>
      </c>
      <c r="G553" t="s">
        <v>192</v>
      </c>
      <c r="H553" t="s">
        <v>48</v>
      </c>
      <c r="I553" t="s">
        <v>14</v>
      </c>
      <c r="J553">
        <v>1</v>
      </c>
      <c r="K553">
        <v>37</v>
      </c>
      <c r="L553" t="s">
        <v>24</v>
      </c>
      <c r="M553" t="s">
        <v>28</v>
      </c>
    </row>
    <row r="554" spans="1:13" x14ac:dyDescent="0.3">
      <c r="A554" t="s">
        <v>1161</v>
      </c>
      <c r="B554" s="8">
        <v>45084</v>
      </c>
      <c r="C554" s="9">
        <v>0.14166666666666666</v>
      </c>
      <c r="D554" t="s">
        <v>1162</v>
      </c>
      <c r="E554" t="s">
        <v>91</v>
      </c>
      <c r="F554">
        <v>72</v>
      </c>
      <c r="G554" t="s">
        <v>192</v>
      </c>
      <c r="H554" t="s">
        <v>48</v>
      </c>
      <c r="I554" t="s">
        <v>14</v>
      </c>
      <c r="J554">
        <v>1</v>
      </c>
      <c r="K554">
        <v>48</v>
      </c>
      <c r="L554" t="s">
        <v>25</v>
      </c>
      <c r="M554" t="s">
        <v>28</v>
      </c>
    </row>
    <row r="555" spans="1:13" x14ac:dyDescent="0.3">
      <c r="A555" t="s">
        <v>1163</v>
      </c>
      <c r="B555" s="8">
        <v>45081</v>
      </c>
      <c r="C555" s="9">
        <v>0.45624999999999999</v>
      </c>
      <c r="D555" t="s">
        <v>1164</v>
      </c>
      <c r="E555" t="s">
        <v>91</v>
      </c>
      <c r="F555">
        <v>71</v>
      </c>
      <c r="G555" t="s">
        <v>192</v>
      </c>
      <c r="H555" t="s">
        <v>48</v>
      </c>
      <c r="I555" t="s">
        <v>14</v>
      </c>
      <c r="J555">
        <v>4</v>
      </c>
      <c r="K555">
        <v>54</v>
      </c>
      <c r="L555" t="s">
        <v>25</v>
      </c>
      <c r="M555" t="s">
        <v>28</v>
      </c>
    </row>
    <row r="556" spans="1:13" x14ac:dyDescent="0.3">
      <c r="A556" t="s">
        <v>1165</v>
      </c>
      <c r="B556" s="8">
        <v>45095</v>
      </c>
      <c r="C556" s="9">
        <v>0.85763888888888884</v>
      </c>
      <c r="D556" t="s">
        <v>1166</v>
      </c>
      <c r="E556" t="s">
        <v>91</v>
      </c>
      <c r="F556">
        <v>24</v>
      </c>
      <c r="G556" t="s">
        <v>192</v>
      </c>
      <c r="H556" t="s">
        <v>48</v>
      </c>
      <c r="I556" t="s">
        <v>14</v>
      </c>
      <c r="J556">
        <v>6</v>
      </c>
      <c r="K556">
        <v>54</v>
      </c>
      <c r="L556" t="s">
        <v>20</v>
      </c>
      <c r="M556" t="s">
        <v>28</v>
      </c>
    </row>
    <row r="557" spans="1:13" x14ac:dyDescent="0.3">
      <c r="A557" t="s">
        <v>1167</v>
      </c>
      <c r="B557" s="8">
        <v>45452</v>
      </c>
      <c r="C557" s="9">
        <v>0.26111111111111113</v>
      </c>
      <c r="D557" t="s">
        <v>1168</v>
      </c>
      <c r="E557" t="s">
        <v>91</v>
      </c>
      <c r="F557">
        <v>21</v>
      </c>
      <c r="G557" t="s">
        <v>192</v>
      </c>
      <c r="H557" t="s">
        <v>48</v>
      </c>
      <c r="I557" t="s">
        <v>13</v>
      </c>
      <c r="J557">
        <v>0</v>
      </c>
      <c r="K557">
        <v>40</v>
      </c>
      <c r="L557" t="s">
        <v>20</v>
      </c>
      <c r="M557" t="s">
        <v>28</v>
      </c>
    </row>
    <row r="558" spans="1:13" x14ac:dyDescent="0.3">
      <c r="A558" t="s">
        <v>1169</v>
      </c>
      <c r="B558" s="8">
        <v>45453</v>
      </c>
      <c r="C558" s="9">
        <v>6.9444444444444441E-3</v>
      </c>
      <c r="D558" t="s">
        <v>1170</v>
      </c>
      <c r="E558" t="s">
        <v>91</v>
      </c>
      <c r="F558">
        <v>30</v>
      </c>
      <c r="G558" t="s">
        <v>192</v>
      </c>
      <c r="H558" t="s">
        <v>48</v>
      </c>
      <c r="I558" t="s">
        <v>13</v>
      </c>
      <c r="J558">
        <v>1</v>
      </c>
      <c r="K558">
        <v>32</v>
      </c>
      <c r="L558" t="s">
        <v>20</v>
      </c>
      <c r="M558" t="s">
        <v>28</v>
      </c>
    </row>
    <row r="559" spans="1:13" x14ac:dyDescent="0.3">
      <c r="A559" t="s">
        <v>1171</v>
      </c>
      <c r="B559" s="8">
        <v>45469</v>
      </c>
      <c r="C559" s="9">
        <v>0.39652777777777776</v>
      </c>
      <c r="D559" t="s">
        <v>1172</v>
      </c>
      <c r="E559" t="s">
        <v>91</v>
      </c>
      <c r="F559">
        <v>77</v>
      </c>
      <c r="G559" t="s">
        <v>192</v>
      </c>
      <c r="H559" t="s">
        <v>48</v>
      </c>
      <c r="I559" t="s">
        <v>13</v>
      </c>
      <c r="J559">
        <v>2</v>
      </c>
      <c r="K559">
        <v>44</v>
      </c>
      <c r="L559" t="s">
        <v>25</v>
      </c>
      <c r="M559" t="s">
        <v>28</v>
      </c>
    </row>
    <row r="560" spans="1:13" x14ac:dyDescent="0.3">
      <c r="A560" t="s">
        <v>1173</v>
      </c>
      <c r="B560" s="8">
        <v>45448</v>
      </c>
      <c r="C560" s="9">
        <v>0.87222222222222223</v>
      </c>
      <c r="D560" t="s">
        <v>1174</v>
      </c>
      <c r="E560" t="s">
        <v>91</v>
      </c>
      <c r="F560">
        <v>39</v>
      </c>
      <c r="G560" t="s">
        <v>192</v>
      </c>
      <c r="H560" t="s">
        <v>48</v>
      </c>
      <c r="I560" t="s">
        <v>13</v>
      </c>
      <c r="J560">
        <v>6</v>
      </c>
      <c r="K560">
        <v>57</v>
      </c>
      <c r="L560" t="s">
        <v>21</v>
      </c>
      <c r="M560" t="s">
        <v>28</v>
      </c>
    </row>
    <row r="561" spans="1:13" x14ac:dyDescent="0.3">
      <c r="A561" t="s">
        <v>1175</v>
      </c>
      <c r="B561" s="8">
        <v>45468</v>
      </c>
      <c r="C561" s="9">
        <v>0.26180555555555557</v>
      </c>
      <c r="D561" t="s">
        <v>1176</v>
      </c>
      <c r="E561" t="s">
        <v>91</v>
      </c>
      <c r="F561">
        <v>38</v>
      </c>
      <c r="G561" t="s">
        <v>192</v>
      </c>
      <c r="H561" t="s">
        <v>48</v>
      </c>
      <c r="I561" t="s">
        <v>13</v>
      </c>
      <c r="J561">
        <v>7</v>
      </c>
      <c r="K561">
        <v>58</v>
      </c>
      <c r="L561" t="s">
        <v>21</v>
      </c>
      <c r="M561" t="s">
        <v>28</v>
      </c>
    </row>
    <row r="562" spans="1:13" x14ac:dyDescent="0.3">
      <c r="A562" t="s">
        <v>1177</v>
      </c>
      <c r="B562" s="8">
        <v>45471</v>
      </c>
      <c r="C562" s="9">
        <v>0.32847222222222222</v>
      </c>
      <c r="D562" t="s">
        <v>1178</v>
      </c>
      <c r="E562" t="s">
        <v>91</v>
      </c>
      <c r="F562">
        <v>12</v>
      </c>
      <c r="G562" t="s">
        <v>192</v>
      </c>
      <c r="H562" t="s">
        <v>48</v>
      </c>
      <c r="I562" t="s">
        <v>13</v>
      </c>
      <c r="J562">
        <v>8</v>
      </c>
      <c r="K562">
        <v>54</v>
      </c>
      <c r="L562" t="s">
        <v>19</v>
      </c>
      <c r="M562" t="s">
        <v>28</v>
      </c>
    </row>
    <row r="563" spans="1:13" x14ac:dyDescent="0.3">
      <c r="A563" t="s">
        <v>1179</v>
      </c>
      <c r="B563" s="8">
        <v>45099</v>
      </c>
      <c r="C563" s="9">
        <v>0.98124999999999996</v>
      </c>
      <c r="D563" t="s">
        <v>1180</v>
      </c>
      <c r="E563" t="s">
        <v>46</v>
      </c>
      <c r="F563">
        <v>41</v>
      </c>
      <c r="G563" t="s">
        <v>192</v>
      </c>
      <c r="H563" t="s">
        <v>48</v>
      </c>
      <c r="I563" t="s">
        <v>14</v>
      </c>
      <c r="J563">
        <v>4</v>
      </c>
      <c r="K563">
        <v>46</v>
      </c>
      <c r="L563" t="s">
        <v>22</v>
      </c>
      <c r="M563" t="s">
        <v>28</v>
      </c>
    </row>
    <row r="564" spans="1:13" x14ac:dyDescent="0.3">
      <c r="A564" t="s">
        <v>1181</v>
      </c>
      <c r="B564" s="8">
        <v>45082</v>
      </c>
      <c r="C564" s="9">
        <v>0.12222222222222222</v>
      </c>
      <c r="D564" t="s">
        <v>1182</v>
      </c>
      <c r="E564" t="s">
        <v>46</v>
      </c>
      <c r="F564">
        <v>54</v>
      </c>
      <c r="G564" t="s">
        <v>192</v>
      </c>
      <c r="H564" t="s">
        <v>48</v>
      </c>
      <c r="I564" t="s">
        <v>14</v>
      </c>
      <c r="J564">
        <v>0</v>
      </c>
      <c r="K564">
        <v>59</v>
      </c>
      <c r="L564" t="s">
        <v>23</v>
      </c>
      <c r="M564" t="s">
        <v>28</v>
      </c>
    </row>
    <row r="565" spans="1:13" x14ac:dyDescent="0.3">
      <c r="A565" t="s">
        <v>1183</v>
      </c>
      <c r="B565" s="8">
        <v>45446</v>
      </c>
      <c r="C565" s="9">
        <v>0.27847222222222223</v>
      </c>
      <c r="D565" t="s">
        <v>1184</v>
      </c>
      <c r="E565" t="s">
        <v>46</v>
      </c>
      <c r="F565">
        <v>11</v>
      </c>
      <c r="G565" t="s">
        <v>192</v>
      </c>
      <c r="H565" t="s">
        <v>48</v>
      </c>
      <c r="I565" t="s">
        <v>14</v>
      </c>
      <c r="J565">
        <v>3</v>
      </c>
      <c r="K565">
        <v>41</v>
      </c>
      <c r="L565" t="s">
        <v>19</v>
      </c>
      <c r="M565" t="s">
        <v>28</v>
      </c>
    </row>
    <row r="566" spans="1:13" x14ac:dyDescent="0.3">
      <c r="A566" t="s">
        <v>1185</v>
      </c>
      <c r="B566" s="8">
        <v>45088</v>
      </c>
      <c r="C566" s="9">
        <v>0.99236111111111114</v>
      </c>
      <c r="D566" t="s">
        <v>1186</v>
      </c>
      <c r="E566" t="s">
        <v>46</v>
      </c>
      <c r="F566">
        <v>31</v>
      </c>
      <c r="G566" t="s">
        <v>192</v>
      </c>
      <c r="H566" t="s">
        <v>48</v>
      </c>
      <c r="I566" t="s">
        <v>14</v>
      </c>
      <c r="J566">
        <v>4</v>
      </c>
      <c r="K566">
        <v>42</v>
      </c>
      <c r="L566" t="s">
        <v>21</v>
      </c>
      <c r="M566" t="s">
        <v>28</v>
      </c>
    </row>
    <row r="567" spans="1:13" x14ac:dyDescent="0.3">
      <c r="A567" t="s">
        <v>1187</v>
      </c>
      <c r="B567" s="8">
        <v>45105</v>
      </c>
      <c r="C567" s="9">
        <v>0.37708333333333333</v>
      </c>
      <c r="D567" t="s">
        <v>1188</v>
      </c>
      <c r="E567" t="s">
        <v>46</v>
      </c>
      <c r="F567">
        <v>57</v>
      </c>
      <c r="G567" t="s">
        <v>192</v>
      </c>
      <c r="H567" t="s">
        <v>48</v>
      </c>
      <c r="I567" t="s">
        <v>14</v>
      </c>
      <c r="J567">
        <v>4</v>
      </c>
      <c r="K567">
        <v>33</v>
      </c>
      <c r="L567" t="s">
        <v>23</v>
      </c>
      <c r="M567" t="s">
        <v>28</v>
      </c>
    </row>
    <row r="568" spans="1:13" x14ac:dyDescent="0.3">
      <c r="A568" t="s">
        <v>1189</v>
      </c>
      <c r="B568" s="8">
        <v>45455</v>
      </c>
      <c r="C568" s="9">
        <v>2.7777777777777776E-2</v>
      </c>
      <c r="D568" t="s">
        <v>1190</v>
      </c>
      <c r="E568" t="s">
        <v>46</v>
      </c>
      <c r="F568">
        <v>77</v>
      </c>
      <c r="G568" t="s">
        <v>192</v>
      </c>
      <c r="H568" t="s">
        <v>48</v>
      </c>
      <c r="I568" t="s">
        <v>14</v>
      </c>
      <c r="J568">
        <v>4</v>
      </c>
      <c r="K568">
        <v>36</v>
      </c>
      <c r="L568" t="s">
        <v>25</v>
      </c>
      <c r="M568" t="s">
        <v>28</v>
      </c>
    </row>
    <row r="569" spans="1:13" x14ac:dyDescent="0.3">
      <c r="A569" t="s">
        <v>1191</v>
      </c>
      <c r="B569" s="8">
        <v>45104</v>
      </c>
      <c r="C569" s="9">
        <v>3.1944444444444442E-2</v>
      </c>
      <c r="D569" t="s">
        <v>1192</v>
      </c>
      <c r="E569" t="s">
        <v>46</v>
      </c>
      <c r="F569">
        <v>50</v>
      </c>
      <c r="G569" t="s">
        <v>192</v>
      </c>
      <c r="H569" t="s">
        <v>48</v>
      </c>
      <c r="I569" t="s">
        <v>14</v>
      </c>
      <c r="J569">
        <v>5</v>
      </c>
      <c r="K569">
        <v>55</v>
      </c>
      <c r="L569" t="s">
        <v>22</v>
      </c>
      <c r="M569" t="s">
        <v>28</v>
      </c>
    </row>
    <row r="570" spans="1:13" x14ac:dyDescent="0.3">
      <c r="A570" t="s">
        <v>1193</v>
      </c>
      <c r="B570" s="8">
        <v>45463</v>
      </c>
      <c r="C570" s="9">
        <v>0.42499999999999999</v>
      </c>
      <c r="D570" t="s">
        <v>1194</v>
      </c>
      <c r="E570" t="s">
        <v>46</v>
      </c>
      <c r="F570">
        <v>74</v>
      </c>
      <c r="G570" t="s">
        <v>192</v>
      </c>
      <c r="H570" t="s">
        <v>48</v>
      </c>
      <c r="I570" t="s">
        <v>14</v>
      </c>
      <c r="J570">
        <v>7</v>
      </c>
      <c r="K570">
        <v>40</v>
      </c>
      <c r="L570" t="s">
        <v>25</v>
      </c>
      <c r="M570" t="s">
        <v>28</v>
      </c>
    </row>
    <row r="571" spans="1:13" x14ac:dyDescent="0.3">
      <c r="A571" t="s">
        <v>1195</v>
      </c>
      <c r="B571" s="8">
        <v>45450</v>
      </c>
      <c r="C571" s="9">
        <v>0.62986111111111109</v>
      </c>
      <c r="D571" t="s">
        <v>1196</v>
      </c>
      <c r="E571" t="s">
        <v>46</v>
      </c>
      <c r="F571">
        <v>28</v>
      </c>
      <c r="G571" t="s">
        <v>192</v>
      </c>
      <c r="H571" t="s">
        <v>48</v>
      </c>
      <c r="I571" t="s">
        <v>14</v>
      </c>
      <c r="J571">
        <v>8</v>
      </c>
      <c r="K571">
        <v>47</v>
      </c>
      <c r="L571" t="s">
        <v>20</v>
      </c>
      <c r="M571" t="s">
        <v>28</v>
      </c>
    </row>
    <row r="572" spans="1:13" x14ac:dyDescent="0.3">
      <c r="A572" t="s">
        <v>1197</v>
      </c>
      <c r="B572" s="8">
        <v>45469</v>
      </c>
      <c r="C572" s="9">
        <v>0.97847222222222219</v>
      </c>
      <c r="D572" t="s">
        <v>1198</v>
      </c>
      <c r="E572" t="s">
        <v>46</v>
      </c>
      <c r="F572">
        <v>34</v>
      </c>
      <c r="G572" t="s">
        <v>192</v>
      </c>
      <c r="H572" t="s">
        <v>48</v>
      </c>
      <c r="I572" t="s">
        <v>14</v>
      </c>
      <c r="J572">
        <v>10</v>
      </c>
      <c r="K572">
        <v>54</v>
      </c>
      <c r="L572" t="s">
        <v>21</v>
      </c>
      <c r="M572" t="s">
        <v>28</v>
      </c>
    </row>
    <row r="573" spans="1:13" x14ac:dyDescent="0.3">
      <c r="A573" t="s">
        <v>1199</v>
      </c>
      <c r="B573" s="8">
        <v>45105</v>
      </c>
      <c r="C573" s="9">
        <v>0.46597222222222223</v>
      </c>
      <c r="D573" t="s">
        <v>1200</v>
      </c>
      <c r="E573" t="s">
        <v>46</v>
      </c>
      <c r="F573">
        <v>60</v>
      </c>
      <c r="G573" t="s">
        <v>192</v>
      </c>
      <c r="H573" t="s">
        <v>48</v>
      </c>
      <c r="I573" t="s">
        <v>13</v>
      </c>
      <c r="J573">
        <v>1</v>
      </c>
      <c r="K573">
        <v>49</v>
      </c>
      <c r="L573" t="s">
        <v>23</v>
      </c>
      <c r="M573" t="s">
        <v>28</v>
      </c>
    </row>
    <row r="574" spans="1:13" x14ac:dyDescent="0.3">
      <c r="A574" t="s">
        <v>1201</v>
      </c>
      <c r="B574" s="8">
        <v>45457</v>
      </c>
      <c r="C574" s="9">
        <v>0.15486111111111112</v>
      </c>
      <c r="D574" t="s">
        <v>1202</v>
      </c>
      <c r="E574" t="s">
        <v>46</v>
      </c>
      <c r="F574">
        <v>34</v>
      </c>
      <c r="G574" t="s">
        <v>192</v>
      </c>
      <c r="H574" t="s">
        <v>48</v>
      </c>
      <c r="I574" t="s">
        <v>13</v>
      </c>
      <c r="J574">
        <v>4</v>
      </c>
      <c r="K574">
        <v>59</v>
      </c>
      <c r="L574" t="s">
        <v>21</v>
      </c>
      <c r="M574" t="s">
        <v>28</v>
      </c>
    </row>
    <row r="575" spans="1:13" x14ac:dyDescent="0.3">
      <c r="A575" t="s">
        <v>1203</v>
      </c>
      <c r="B575" s="8">
        <v>45091</v>
      </c>
      <c r="C575" s="9">
        <v>0.95416666666666672</v>
      </c>
      <c r="D575" t="s">
        <v>1204</v>
      </c>
      <c r="E575" t="s">
        <v>46</v>
      </c>
      <c r="F575">
        <v>45</v>
      </c>
      <c r="G575" t="s">
        <v>192</v>
      </c>
      <c r="H575" t="s">
        <v>48</v>
      </c>
      <c r="I575" t="s">
        <v>13</v>
      </c>
      <c r="J575">
        <v>7</v>
      </c>
      <c r="K575">
        <v>55</v>
      </c>
      <c r="L575" t="s">
        <v>22</v>
      </c>
      <c r="M575" t="s">
        <v>28</v>
      </c>
    </row>
    <row r="576" spans="1:13" x14ac:dyDescent="0.3">
      <c r="A576" t="s">
        <v>1205</v>
      </c>
      <c r="B576" s="8">
        <v>45448</v>
      </c>
      <c r="C576" s="9">
        <v>0.25833333333333336</v>
      </c>
      <c r="D576" t="s">
        <v>1206</v>
      </c>
      <c r="E576" t="s">
        <v>46</v>
      </c>
      <c r="F576">
        <v>31</v>
      </c>
      <c r="G576" t="s">
        <v>192</v>
      </c>
      <c r="H576" t="s">
        <v>48</v>
      </c>
      <c r="I576" t="s">
        <v>13</v>
      </c>
      <c r="J576">
        <v>7</v>
      </c>
      <c r="K576">
        <v>58</v>
      </c>
      <c r="L576" t="s">
        <v>21</v>
      </c>
      <c r="M576" t="s">
        <v>28</v>
      </c>
    </row>
    <row r="577" spans="1:13" x14ac:dyDescent="0.3">
      <c r="A577" t="s">
        <v>1207</v>
      </c>
      <c r="B577" s="8">
        <v>45102</v>
      </c>
      <c r="C577" s="9">
        <v>0.64861111111111114</v>
      </c>
      <c r="D577" t="s">
        <v>1208</v>
      </c>
      <c r="E577" t="s">
        <v>46</v>
      </c>
      <c r="F577">
        <v>52</v>
      </c>
      <c r="G577" t="s">
        <v>192</v>
      </c>
      <c r="H577" t="s">
        <v>48</v>
      </c>
      <c r="I577" t="s">
        <v>13</v>
      </c>
      <c r="J577">
        <v>7</v>
      </c>
      <c r="K577">
        <v>45</v>
      </c>
      <c r="L577" t="s">
        <v>23</v>
      </c>
      <c r="M577" t="s">
        <v>28</v>
      </c>
    </row>
    <row r="578" spans="1:13" x14ac:dyDescent="0.3">
      <c r="A578" t="s">
        <v>1209</v>
      </c>
      <c r="B578" s="8">
        <v>45473</v>
      </c>
      <c r="C578" s="9">
        <v>0.71319444444444446</v>
      </c>
      <c r="D578" t="s">
        <v>1210</v>
      </c>
      <c r="E578" t="s">
        <v>46</v>
      </c>
      <c r="F578">
        <v>71</v>
      </c>
      <c r="G578" t="s">
        <v>192</v>
      </c>
      <c r="H578" t="s">
        <v>48</v>
      </c>
      <c r="I578" t="s">
        <v>13</v>
      </c>
      <c r="J578">
        <v>10</v>
      </c>
      <c r="K578">
        <v>45</v>
      </c>
      <c r="L578" t="s">
        <v>25</v>
      </c>
      <c r="M578" t="s">
        <v>28</v>
      </c>
    </row>
    <row r="579" spans="1:13" x14ac:dyDescent="0.3">
      <c r="A579" t="s">
        <v>1211</v>
      </c>
      <c r="B579" s="8">
        <v>45464</v>
      </c>
      <c r="C579" s="9">
        <v>0.43472222222222223</v>
      </c>
      <c r="D579" t="s">
        <v>1212</v>
      </c>
      <c r="E579" t="s">
        <v>46</v>
      </c>
      <c r="F579">
        <v>28</v>
      </c>
      <c r="G579" t="s">
        <v>47</v>
      </c>
      <c r="H579" t="s">
        <v>48</v>
      </c>
      <c r="I579" t="s">
        <v>13</v>
      </c>
      <c r="J579">
        <v>1</v>
      </c>
      <c r="K579">
        <v>56</v>
      </c>
      <c r="L579" t="s">
        <v>20</v>
      </c>
      <c r="M579" t="s">
        <v>28</v>
      </c>
    </row>
    <row r="580" spans="1:13" x14ac:dyDescent="0.3">
      <c r="A580" t="s">
        <v>1213</v>
      </c>
      <c r="B580" s="8">
        <v>45102</v>
      </c>
      <c r="C580" s="9">
        <v>0.93333333333333335</v>
      </c>
      <c r="D580" t="s">
        <v>1214</v>
      </c>
      <c r="E580" t="s">
        <v>46</v>
      </c>
      <c r="F580">
        <v>30</v>
      </c>
      <c r="G580" t="s">
        <v>47</v>
      </c>
      <c r="H580" t="s">
        <v>48</v>
      </c>
      <c r="I580" t="s">
        <v>13</v>
      </c>
      <c r="J580">
        <v>1</v>
      </c>
      <c r="K580">
        <v>39</v>
      </c>
      <c r="L580" t="s">
        <v>20</v>
      </c>
      <c r="M580" t="s">
        <v>28</v>
      </c>
    </row>
    <row r="581" spans="1:13" x14ac:dyDescent="0.3">
      <c r="A581" t="s">
        <v>1215</v>
      </c>
      <c r="B581" s="8">
        <v>45103</v>
      </c>
      <c r="C581" s="9">
        <v>0.46527777777777779</v>
      </c>
      <c r="D581" t="s">
        <v>1216</v>
      </c>
      <c r="E581" t="s">
        <v>46</v>
      </c>
      <c r="F581">
        <v>45</v>
      </c>
      <c r="G581" t="s">
        <v>47</v>
      </c>
      <c r="H581" t="s">
        <v>48</v>
      </c>
      <c r="I581" t="s">
        <v>13</v>
      </c>
      <c r="J581">
        <v>9</v>
      </c>
      <c r="K581">
        <v>57</v>
      </c>
      <c r="L581" t="s">
        <v>22</v>
      </c>
      <c r="M581" t="s">
        <v>28</v>
      </c>
    </row>
    <row r="582" spans="1:13" x14ac:dyDescent="0.3">
      <c r="A582" t="s">
        <v>1217</v>
      </c>
      <c r="B582" s="8">
        <v>45454</v>
      </c>
      <c r="C582" s="9">
        <v>7.9861111111111105E-2</v>
      </c>
      <c r="D582" t="s">
        <v>1218</v>
      </c>
      <c r="E582" t="s">
        <v>46</v>
      </c>
      <c r="F582">
        <v>3</v>
      </c>
      <c r="G582" t="s">
        <v>47</v>
      </c>
      <c r="H582" t="s">
        <v>48</v>
      </c>
      <c r="I582" t="s">
        <v>13</v>
      </c>
      <c r="J582">
        <v>10</v>
      </c>
      <c r="K582">
        <v>54</v>
      </c>
      <c r="L582" t="s">
        <v>18</v>
      </c>
      <c r="M582" t="s">
        <v>28</v>
      </c>
    </row>
    <row r="583" spans="1:13" x14ac:dyDescent="0.3">
      <c r="A583" t="s">
        <v>1219</v>
      </c>
      <c r="B583" s="8">
        <v>45467</v>
      </c>
      <c r="C583" s="9">
        <v>0.6694444444444444</v>
      </c>
      <c r="D583" t="s">
        <v>1220</v>
      </c>
      <c r="E583" t="s">
        <v>46</v>
      </c>
      <c r="F583">
        <v>75</v>
      </c>
      <c r="G583" t="s">
        <v>47</v>
      </c>
      <c r="H583" t="s">
        <v>48</v>
      </c>
      <c r="I583" t="s">
        <v>13</v>
      </c>
      <c r="J583">
        <v>10</v>
      </c>
      <c r="K583">
        <v>45</v>
      </c>
      <c r="L583" t="s">
        <v>25</v>
      </c>
      <c r="M583" t="s">
        <v>28</v>
      </c>
    </row>
    <row r="584" spans="1:13" x14ac:dyDescent="0.3">
      <c r="A584" t="s">
        <v>1221</v>
      </c>
      <c r="B584" s="8">
        <v>45105</v>
      </c>
      <c r="C584" s="9">
        <v>0.13680555555555557</v>
      </c>
      <c r="D584" t="s">
        <v>1222</v>
      </c>
      <c r="E584" t="s">
        <v>46</v>
      </c>
      <c r="F584">
        <v>16</v>
      </c>
      <c r="G584" t="s">
        <v>47</v>
      </c>
      <c r="H584" t="s">
        <v>48</v>
      </c>
      <c r="I584" t="s">
        <v>13</v>
      </c>
      <c r="J584">
        <v>10</v>
      </c>
      <c r="K584">
        <v>58</v>
      </c>
      <c r="L584" t="s">
        <v>19</v>
      </c>
      <c r="M584" t="s">
        <v>28</v>
      </c>
    </row>
    <row r="585" spans="1:13" x14ac:dyDescent="0.3">
      <c r="A585" t="s">
        <v>1223</v>
      </c>
      <c r="B585" s="8">
        <v>45097</v>
      </c>
      <c r="C585" s="9">
        <v>0.49375000000000002</v>
      </c>
      <c r="D585" t="s">
        <v>1224</v>
      </c>
      <c r="E585" t="s">
        <v>91</v>
      </c>
      <c r="F585">
        <v>8</v>
      </c>
      <c r="G585" t="s">
        <v>47</v>
      </c>
      <c r="H585" t="s">
        <v>48</v>
      </c>
      <c r="I585" t="s">
        <v>13</v>
      </c>
      <c r="J585">
        <v>0</v>
      </c>
      <c r="K585">
        <v>59</v>
      </c>
      <c r="L585" t="s">
        <v>18</v>
      </c>
      <c r="M585" t="s">
        <v>28</v>
      </c>
    </row>
    <row r="586" spans="1:13" x14ac:dyDescent="0.3">
      <c r="A586" t="s">
        <v>1225</v>
      </c>
      <c r="B586" s="8">
        <v>45091</v>
      </c>
      <c r="C586" s="9">
        <v>0.92361111111111116</v>
      </c>
      <c r="D586" t="s">
        <v>1226</v>
      </c>
      <c r="E586" t="s">
        <v>91</v>
      </c>
      <c r="F586">
        <v>63</v>
      </c>
      <c r="G586" t="s">
        <v>47</v>
      </c>
      <c r="H586" t="s">
        <v>48</v>
      </c>
      <c r="I586" t="s">
        <v>13</v>
      </c>
      <c r="J586">
        <v>0</v>
      </c>
      <c r="K586">
        <v>46</v>
      </c>
      <c r="L586" t="s">
        <v>24</v>
      </c>
      <c r="M586" t="s">
        <v>28</v>
      </c>
    </row>
    <row r="587" spans="1:13" x14ac:dyDescent="0.3">
      <c r="A587" t="s">
        <v>1227</v>
      </c>
      <c r="B587" s="8">
        <v>45095</v>
      </c>
      <c r="C587" s="9">
        <v>0.59513888888888888</v>
      </c>
      <c r="D587" t="s">
        <v>1228</v>
      </c>
      <c r="E587" t="s">
        <v>91</v>
      </c>
      <c r="F587">
        <v>31</v>
      </c>
      <c r="G587" t="s">
        <v>47</v>
      </c>
      <c r="H587" t="s">
        <v>48</v>
      </c>
      <c r="I587" t="s">
        <v>13</v>
      </c>
      <c r="J587">
        <v>3</v>
      </c>
      <c r="K587">
        <v>43</v>
      </c>
      <c r="L587" t="s">
        <v>21</v>
      </c>
      <c r="M587" t="s">
        <v>28</v>
      </c>
    </row>
    <row r="588" spans="1:13" x14ac:dyDescent="0.3">
      <c r="A588" t="s">
        <v>1229</v>
      </c>
      <c r="B588" s="8">
        <v>45453</v>
      </c>
      <c r="C588" s="9">
        <v>0.62847222222222221</v>
      </c>
      <c r="D588" t="s">
        <v>1230</v>
      </c>
      <c r="E588" t="s">
        <v>91</v>
      </c>
      <c r="F588">
        <v>47</v>
      </c>
      <c r="G588" t="s">
        <v>47</v>
      </c>
      <c r="H588" t="s">
        <v>48</v>
      </c>
      <c r="I588" t="s">
        <v>13</v>
      </c>
      <c r="J588">
        <v>2</v>
      </c>
      <c r="K588">
        <v>39</v>
      </c>
      <c r="L588" t="s">
        <v>22</v>
      </c>
      <c r="M588" t="s">
        <v>28</v>
      </c>
    </row>
    <row r="589" spans="1:13" x14ac:dyDescent="0.3">
      <c r="A589" t="s">
        <v>1231</v>
      </c>
      <c r="B589" s="8">
        <v>45448</v>
      </c>
      <c r="C589" s="9">
        <v>0.48680555555555555</v>
      </c>
      <c r="D589" t="s">
        <v>1232</v>
      </c>
      <c r="E589" t="s">
        <v>91</v>
      </c>
      <c r="F589">
        <v>49</v>
      </c>
      <c r="G589" t="s">
        <v>47</v>
      </c>
      <c r="H589" t="s">
        <v>48</v>
      </c>
      <c r="I589" t="s">
        <v>13</v>
      </c>
      <c r="J589">
        <v>3</v>
      </c>
      <c r="K589">
        <v>41</v>
      </c>
      <c r="L589" t="s">
        <v>22</v>
      </c>
      <c r="M589" t="s">
        <v>28</v>
      </c>
    </row>
    <row r="590" spans="1:13" x14ac:dyDescent="0.3">
      <c r="A590" t="s">
        <v>1233</v>
      </c>
      <c r="B590" s="8">
        <v>45105</v>
      </c>
      <c r="C590" s="9">
        <v>8.3333333333333329E-2</v>
      </c>
      <c r="D590" t="s">
        <v>1234</v>
      </c>
      <c r="E590" t="s">
        <v>91</v>
      </c>
      <c r="F590">
        <v>12</v>
      </c>
      <c r="G590" t="s">
        <v>47</v>
      </c>
      <c r="H590" t="s">
        <v>48</v>
      </c>
      <c r="I590" t="s">
        <v>13</v>
      </c>
      <c r="J590">
        <v>3</v>
      </c>
      <c r="K590">
        <v>47</v>
      </c>
      <c r="L590" t="s">
        <v>19</v>
      </c>
      <c r="M590" t="s">
        <v>28</v>
      </c>
    </row>
    <row r="591" spans="1:13" x14ac:dyDescent="0.3">
      <c r="A591" t="s">
        <v>1235</v>
      </c>
      <c r="B591" s="8">
        <v>45449</v>
      </c>
      <c r="C591" s="9">
        <v>0.60347222222222219</v>
      </c>
      <c r="D591" t="s">
        <v>1236</v>
      </c>
      <c r="E591" t="s">
        <v>91</v>
      </c>
      <c r="F591">
        <v>39</v>
      </c>
      <c r="G591" t="s">
        <v>47</v>
      </c>
      <c r="H591" t="s">
        <v>48</v>
      </c>
      <c r="I591" t="s">
        <v>13</v>
      </c>
      <c r="J591">
        <v>4</v>
      </c>
      <c r="K591">
        <v>48</v>
      </c>
      <c r="L591" t="s">
        <v>21</v>
      </c>
      <c r="M591" t="s">
        <v>28</v>
      </c>
    </row>
    <row r="592" spans="1:13" x14ac:dyDescent="0.3">
      <c r="A592" t="s">
        <v>1237</v>
      </c>
      <c r="B592" s="8">
        <v>45457</v>
      </c>
      <c r="C592" s="9">
        <v>0.92152777777777772</v>
      </c>
      <c r="D592" t="s">
        <v>1238</v>
      </c>
      <c r="E592" t="s">
        <v>91</v>
      </c>
      <c r="F592">
        <v>54</v>
      </c>
      <c r="G592" t="s">
        <v>47</v>
      </c>
      <c r="H592" t="s">
        <v>48</v>
      </c>
      <c r="I592" t="s">
        <v>13</v>
      </c>
      <c r="J592">
        <v>5</v>
      </c>
      <c r="K592">
        <v>54</v>
      </c>
      <c r="L592" t="s">
        <v>23</v>
      </c>
      <c r="M592" t="s">
        <v>28</v>
      </c>
    </row>
    <row r="593" spans="1:13" x14ac:dyDescent="0.3">
      <c r="A593" t="s">
        <v>1239</v>
      </c>
      <c r="B593" s="8">
        <v>45468</v>
      </c>
      <c r="C593" s="9">
        <v>0.38750000000000001</v>
      </c>
      <c r="D593" t="s">
        <v>1240</v>
      </c>
      <c r="E593" t="s">
        <v>91</v>
      </c>
      <c r="F593">
        <v>67</v>
      </c>
      <c r="G593" t="s">
        <v>47</v>
      </c>
      <c r="H593" t="s">
        <v>48</v>
      </c>
      <c r="I593" t="s">
        <v>13</v>
      </c>
      <c r="J593">
        <v>10</v>
      </c>
      <c r="K593">
        <v>34</v>
      </c>
      <c r="L593" t="s">
        <v>24</v>
      </c>
      <c r="M593" t="s">
        <v>28</v>
      </c>
    </row>
    <row r="594" spans="1:13" x14ac:dyDescent="0.3">
      <c r="A594" t="s">
        <v>1241</v>
      </c>
      <c r="B594" s="8">
        <v>45447</v>
      </c>
      <c r="C594" s="9">
        <v>0.67291666666666672</v>
      </c>
      <c r="D594" t="s">
        <v>1242</v>
      </c>
      <c r="E594" t="s">
        <v>91</v>
      </c>
      <c r="F594">
        <v>24</v>
      </c>
      <c r="G594" t="s">
        <v>47</v>
      </c>
      <c r="H594" t="s">
        <v>48</v>
      </c>
      <c r="I594" t="s">
        <v>13</v>
      </c>
      <c r="J594">
        <v>10</v>
      </c>
      <c r="K594">
        <v>43</v>
      </c>
      <c r="L594" t="s">
        <v>20</v>
      </c>
      <c r="M594" t="s">
        <v>28</v>
      </c>
    </row>
    <row r="595" spans="1:13" x14ac:dyDescent="0.3">
      <c r="A595" t="s">
        <v>1243</v>
      </c>
      <c r="B595" s="8">
        <v>45092</v>
      </c>
      <c r="C595" s="9">
        <v>0.14444444444444443</v>
      </c>
      <c r="D595" t="s">
        <v>1244</v>
      </c>
      <c r="E595" t="s">
        <v>91</v>
      </c>
      <c r="F595">
        <v>28</v>
      </c>
      <c r="G595" t="s">
        <v>47</v>
      </c>
      <c r="H595" t="s">
        <v>48</v>
      </c>
      <c r="I595" t="s">
        <v>14</v>
      </c>
      <c r="J595">
        <v>9</v>
      </c>
      <c r="K595">
        <v>37</v>
      </c>
      <c r="L595" t="s">
        <v>20</v>
      </c>
      <c r="M595" t="s">
        <v>28</v>
      </c>
    </row>
    <row r="596" spans="1:13" x14ac:dyDescent="0.3">
      <c r="A596" t="s">
        <v>1245</v>
      </c>
      <c r="B596" s="8">
        <v>45095</v>
      </c>
      <c r="C596" s="9">
        <v>8.2638888888888887E-2</v>
      </c>
      <c r="D596" t="s">
        <v>1246</v>
      </c>
      <c r="E596" t="s">
        <v>91</v>
      </c>
      <c r="F596">
        <v>45</v>
      </c>
      <c r="G596" t="s">
        <v>47</v>
      </c>
      <c r="H596" t="s">
        <v>48</v>
      </c>
      <c r="I596" t="s">
        <v>14</v>
      </c>
      <c r="J596">
        <v>1</v>
      </c>
      <c r="K596">
        <v>43</v>
      </c>
      <c r="L596" t="s">
        <v>22</v>
      </c>
      <c r="M596" t="s">
        <v>28</v>
      </c>
    </row>
    <row r="597" spans="1:13" x14ac:dyDescent="0.3">
      <c r="A597" t="s">
        <v>1247</v>
      </c>
      <c r="B597" s="8">
        <v>45085</v>
      </c>
      <c r="C597" s="9">
        <v>9.0972222222222218E-2</v>
      </c>
      <c r="D597" t="s">
        <v>1248</v>
      </c>
      <c r="E597" t="s">
        <v>91</v>
      </c>
      <c r="F597">
        <v>72</v>
      </c>
      <c r="G597" t="s">
        <v>47</v>
      </c>
      <c r="H597" t="s">
        <v>48</v>
      </c>
      <c r="I597" t="s">
        <v>14</v>
      </c>
      <c r="J597">
        <v>2</v>
      </c>
      <c r="K597">
        <v>46</v>
      </c>
      <c r="L597" t="s">
        <v>25</v>
      </c>
      <c r="M597" t="s">
        <v>28</v>
      </c>
    </row>
    <row r="598" spans="1:13" x14ac:dyDescent="0.3">
      <c r="A598" t="s">
        <v>1249</v>
      </c>
      <c r="B598" s="8">
        <v>45090</v>
      </c>
      <c r="C598" s="9">
        <v>0.8979166666666667</v>
      </c>
      <c r="D598" t="s">
        <v>1250</v>
      </c>
      <c r="E598" t="s">
        <v>91</v>
      </c>
      <c r="F598">
        <v>37</v>
      </c>
      <c r="G598" t="s">
        <v>47</v>
      </c>
      <c r="H598" t="s">
        <v>48</v>
      </c>
      <c r="I598" t="s">
        <v>14</v>
      </c>
      <c r="J598">
        <v>3</v>
      </c>
      <c r="K598">
        <v>55</v>
      </c>
      <c r="L598" t="s">
        <v>21</v>
      </c>
      <c r="M598" t="s">
        <v>28</v>
      </c>
    </row>
    <row r="599" spans="1:13" x14ac:dyDescent="0.3">
      <c r="A599" t="s">
        <v>1251</v>
      </c>
      <c r="B599" s="8">
        <v>45464</v>
      </c>
      <c r="C599" s="9">
        <v>0.35069444444444442</v>
      </c>
      <c r="D599" t="s">
        <v>1252</v>
      </c>
      <c r="E599" t="s">
        <v>91</v>
      </c>
      <c r="F599">
        <v>55</v>
      </c>
      <c r="G599" t="s">
        <v>47</v>
      </c>
      <c r="H599" t="s">
        <v>48</v>
      </c>
      <c r="I599" t="s">
        <v>14</v>
      </c>
      <c r="J599">
        <v>3</v>
      </c>
      <c r="K599">
        <v>60</v>
      </c>
      <c r="L599" t="s">
        <v>23</v>
      </c>
      <c r="M599" t="s">
        <v>28</v>
      </c>
    </row>
    <row r="600" spans="1:13" x14ac:dyDescent="0.3">
      <c r="A600" t="s">
        <v>1253</v>
      </c>
      <c r="B600" s="8">
        <v>45451</v>
      </c>
      <c r="C600" s="9">
        <v>0.90486111111111112</v>
      </c>
      <c r="D600" t="s">
        <v>1254</v>
      </c>
      <c r="E600" t="s">
        <v>91</v>
      </c>
      <c r="F600">
        <v>71</v>
      </c>
      <c r="G600" t="s">
        <v>47</v>
      </c>
      <c r="H600" t="s">
        <v>48</v>
      </c>
      <c r="I600" t="s">
        <v>14</v>
      </c>
      <c r="J600">
        <v>3</v>
      </c>
      <c r="K600">
        <v>38</v>
      </c>
      <c r="L600" t="s">
        <v>25</v>
      </c>
      <c r="M600" t="s">
        <v>28</v>
      </c>
    </row>
    <row r="601" spans="1:13" x14ac:dyDescent="0.3">
      <c r="A601" t="s">
        <v>1255</v>
      </c>
      <c r="B601" s="8">
        <v>45099</v>
      </c>
      <c r="C601" s="9">
        <v>0.91527777777777775</v>
      </c>
      <c r="D601" t="s">
        <v>1256</v>
      </c>
      <c r="E601" t="s">
        <v>91</v>
      </c>
      <c r="F601">
        <v>23</v>
      </c>
      <c r="G601" t="s">
        <v>47</v>
      </c>
      <c r="H601" t="s">
        <v>48</v>
      </c>
      <c r="I601" t="s">
        <v>14</v>
      </c>
      <c r="J601">
        <v>4</v>
      </c>
      <c r="K601">
        <v>32</v>
      </c>
      <c r="L601" t="s">
        <v>20</v>
      </c>
      <c r="M601" t="s">
        <v>28</v>
      </c>
    </row>
    <row r="602" spans="1:13" x14ac:dyDescent="0.3">
      <c r="A602" t="s">
        <v>1257</v>
      </c>
      <c r="B602" s="8">
        <v>45086</v>
      </c>
      <c r="C602" s="9">
        <v>0.39583333333333331</v>
      </c>
      <c r="D602" t="s">
        <v>1258</v>
      </c>
      <c r="E602" t="s">
        <v>91</v>
      </c>
      <c r="F602">
        <v>61</v>
      </c>
      <c r="G602" t="s">
        <v>47</v>
      </c>
      <c r="H602" t="s">
        <v>48</v>
      </c>
      <c r="I602" t="s">
        <v>14</v>
      </c>
      <c r="J602">
        <v>4</v>
      </c>
      <c r="K602">
        <v>57</v>
      </c>
      <c r="L602" t="s">
        <v>24</v>
      </c>
      <c r="M602" t="s">
        <v>28</v>
      </c>
    </row>
    <row r="603" spans="1:13" x14ac:dyDescent="0.3">
      <c r="A603" t="s">
        <v>1259</v>
      </c>
      <c r="B603" s="8">
        <v>45460</v>
      </c>
      <c r="C603" s="9">
        <v>0.48333333333333334</v>
      </c>
      <c r="D603" t="s">
        <v>1260</v>
      </c>
      <c r="E603" t="s">
        <v>91</v>
      </c>
      <c r="F603">
        <v>1</v>
      </c>
      <c r="G603" t="s">
        <v>47</v>
      </c>
      <c r="H603" t="s">
        <v>48</v>
      </c>
      <c r="I603" t="s">
        <v>14</v>
      </c>
      <c r="J603">
        <v>6</v>
      </c>
      <c r="K603">
        <v>34</v>
      </c>
      <c r="L603" t="s">
        <v>18</v>
      </c>
      <c r="M603" t="s">
        <v>28</v>
      </c>
    </row>
    <row r="604" spans="1:13" x14ac:dyDescent="0.3">
      <c r="A604" t="s">
        <v>1261</v>
      </c>
      <c r="B604" s="8">
        <v>45079</v>
      </c>
      <c r="C604" s="9">
        <v>0.70416666666666672</v>
      </c>
      <c r="D604" t="s">
        <v>1262</v>
      </c>
      <c r="E604" t="s">
        <v>46</v>
      </c>
      <c r="F604">
        <v>2</v>
      </c>
      <c r="G604" t="s">
        <v>47</v>
      </c>
      <c r="H604" t="s">
        <v>48</v>
      </c>
      <c r="I604" t="s">
        <v>14</v>
      </c>
      <c r="J604">
        <v>10</v>
      </c>
      <c r="K604">
        <v>48</v>
      </c>
      <c r="L604" t="s">
        <v>18</v>
      </c>
      <c r="M604" t="s">
        <v>28</v>
      </c>
    </row>
    <row r="605" spans="1:13" x14ac:dyDescent="0.3">
      <c r="A605" t="s">
        <v>1263</v>
      </c>
      <c r="B605" s="8">
        <v>45448</v>
      </c>
      <c r="C605" s="9">
        <v>0.89166666666666672</v>
      </c>
      <c r="D605" t="s">
        <v>1264</v>
      </c>
      <c r="E605" t="s">
        <v>46</v>
      </c>
      <c r="F605">
        <v>8</v>
      </c>
      <c r="G605" t="s">
        <v>47</v>
      </c>
      <c r="H605" t="s">
        <v>48</v>
      </c>
      <c r="I605" t="s">
        <v>14</v>
      </c>
      <c r="J605">
        <v>0</v>
      </c>
      <c r="K605">
        <v>35</v>
      </c>
      <c r="L605" t="s">
        <v>18</v>
      </c>
      <c r="M605" t="s">
        <v>28</v>
      </c>
    </row>
    <row r="606" spans="1:13" x14ac:dyDescent="0.3">
      <c r="A606" t="s">
        <v>1265</v>
      </c>
      <c r="B606" s="8">
        <v>45458</v>
      </c>
      <c r="C606" s="9">
        <v>0.81944444444444442</v>
      </c>
      <c r="D606" t="s">
        <v>1266</v>
      </c>
      <c r="E606" t="s">
        <v>46</v>
      </c>
      <c r="F606">
        <v>48</v>
      </c>
      <c r="G606" t="s">
        <v>47</v>
      </c>
      <c r="H606" t="s">
        <v>48</v>
      </c>
      <c r="I606" t="s">
        <v>14</v>
      </c>
      <c r="J606">
        <v>0</v>
      </c>
      <c r="K606">
        <v>37</v>
      </c>
      <c r="L606" t="s">
        <v>22</v>
      </c>
      <c r="M606" t="s">
        <v>28</v>
      </c>
    </row>
    <row r="607" spans="1:13" x14ac:dyDescent="0.3">
      <c r="A607" t="s">
        <v>1267</v>
      </c>
      <c r="B607" s="8">
        <v>45079</v>
      </c>
      <c r="C607" s="9">
        <v>0.67152777777777772</v>
      </c>
      <c r="D607" t="s">
        <v>1268</v>
      </c>
      <c r="E607" t="s">
        <v>46</v>
      </c>
      <c r="F607">
        <v>71</v>
      </c>
      <c r="G607" t="s">
        <v>47</v>
      </c>
      <c r="H607" t="s">
        <v>48</v>
      </c>
      <c r="I607" t="s">
        <v>14</v>
      </c>
      <c r="J607">
        <v>2</v>
      </c>
      <c r="K607">
        <v>42</v>
      </c>
      <c r="L607" t="s">
        <v>25</v>
      </c>
      <c r="M607" t="s">
        <v>28</v>
      </c>
    </row>
    <row r="608" spans="1:13" x14ac:dyDescent="0.3">
      <c r="A608" t="s">
        <v>1269</v>
      </c>
      <c r="B608" s="8">
        <v>45473</v>
      </c>
      <c r="C608" s="9">
        <v>0.97777777777777775</v>
      </c>
      <c r="D608" t="s">
        <v>1270</v>
      </c>
      <c r="E608" t="s">
        <v>46</v>
      </c>
      <c r="F608">
        <v>43</v>
      </c>
      <c r="G608" t="s">
        <v>47</v>
      </c>
      <c r="H608" t="s">
        <v>48</v>
      </c>
      <c r="I608" t="s">
        <v>14</v>
      </c>
      <c r="J608">
        <v>5</v>
      </c>
      <c r="K608">
        <v>54</v>
      </c>
      <c r="L608" t="s">
        <v>22</v>
      </c>
      <c r="M608" t="s">
        <v>28</v>
      </c>
    </row>
    <row r="609" spans="1:13" x14ac:dyDescent="0.3">
      <c r="A609" t="s">
        <v>1271</v>
      </c>
      <c r="B609" s="8">
        <v>45452</v>
      </c>
      <c r="C609" s="9">
        <v>0.13472222222222222</v>
      </c>
      <c r="D609" t="s">
        <v>1272</v>
      </c>
      <c r="E609" t="s">
        <v>46</v>
      </c>
      <c r="F609">
        <v>4</v>
      </c>
      <c r="G609" t="s">
        <v>47</v>
      </c>
      <c r="H609" t="s">
        <v>48</v>
      </c>
      <c r="I609" t="s">
        <v>14</v>
      </c>
      <c r="J609">
        <v>5</v>
      </c>
      <c r="K609">
        <v>49</v>
      </c>
      <c r="L609" t="s">
        <v>18</v>
      </c>
      <c r="M609" t="s">
        <v>28</v>
      </c>
    </row>
    <row r="610" spans="1:13" x14ac:dyDescent="0.3">
      <c r="A610" t="s">
        <v>1273</v>
      </c>
      <c r="B610" s="8">
        <v>45079</v>
      </c>
      <c r="C610" s="9">
        <v>0.33819444444444446</v>
      </c>
      <c r="D610" t="s">
        <v>1274</v>
      </c>
      <c r="E610" t="s">
        <v>46</v>
      </c>
      <c r="F610">
        <v>15</v>
      </c>
      <c r="G610" t="s">
        <v>47</v>
      </c>
      <c r="H610" t="s">
        <v>48</v>
      </c>
      <c r="I610" t="s">
        <v>14</v>
      </c>
      <c r="J610">
        <v>7</v>
      </c>
      <c r="K610">
        <v>53</v>
      </c>
      <c r="L610" t="s">
        <v>19</v>
      </c>
      <c r="M610" t="s">
        <v>28</v>
      </c>
    </row>
    <row r="611" spans="1:13" x14ac:dyDescent="0.3">
      <c r="A611" t="s">
        <v>1275</v>
      </c>
      <c r="B611" s="8">
        <v>45472</v>
      </c>
      <c r="C611" s="9">
        <v>0.24861111111111112</v>
      </c>
      <c r="D611" t="s">
        <v>1276</v>
      </c>
      <c r="E611" t="s">
        <v>46</v>
      </c>
      <c r="F611">
        <v>62</v>
      </c>
      <c r="G611" t="s">
        <v>47</v>
      </c>
      <c r="H611" t="s">
        <v>48</v>
      </c>
      <c r="I611" t="s">
        <v>14</v>
      </c>
      <c r="J611">
        <v>7</v>
      </c>
      <c r="K611">
        <v>53</v>
      </c>
      <c r="L611" t="s">
        <v>24</v>
      </c>
      <c r="M61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8FB5-DDA2-415A-855A-B05AC7D3F321}">
  <dimension ref="A4:L61"/>
  <sheetViews>
    <sheetView tabSelected="1" topLeftCell="H1" zoomScale="116" workbookViewId="0">
      <selection activeCell="I8" sqref="I8"/>
    </sheetView>
  </sheetViews>
  <sheetFormatPr defaultRowHeight="14.4" x14ac:dyDescent="0.3"/>
  <cols>
    <col min="1" max="1" width="15.77734375" customWidth="1"/>
    <col min="2" max="2" width="12.6640625" customWidth="1"/>
    <col min="3" max="3" width="7.21875" customWidth="1"/>
    <col min="4" max="4" width="21.44140625" customWidth="1"/>
    <col min="5" max="5" width="23.88671875" bestFit="1" customWidth="1"/>
    <col min="6" max="6" width="14.5546875" bestFit="1" customWidth="1"/>
    <col min="7" max="7" width="22.109375" bestFit="1" customWidth="1"/>
    <col min="8" max="9" width="32.44140625" bestFit="1" customWidth="1"/>
    <col min="10" max="10" width="26.77734375" bestFit="1" customWidth="1"/>
    <col min="11" max="11" width="12.5546875" bestFit="1" customWidth="1"/>
    <col min="12" max="12" width="32.44140625" bestFit="1" customWidth="1"/>
  </cols>
  <sheetData>
    <row r="4" spans="1:12" x14ac:dyDescent="0.3">
      <c r="A4" t="s">
        <v>1</v>
      </c>
      <c r="D4" t="s">
        <v>6</v>
      </c>
      <c r="G4" t="s">
        <v>7</v>
      </c>
      <c r="K4" t="s">
        <v>8</v>
      </c>
    </row>
    <row r="5" spans="1:12" x14ac:dyDescent="0.3">
      <c r="A5" t="s">
        <v>0</v>
      </c>
      <c r="D5" s="2" t="s">
        <v>5</v>
      </c>
      <c r="E5" t="s">
        <v>0</v>
      </c>
      <c r="G5" s="2" t="s">
        <v>5</v>
      </c>
      <c r="H5" t="s">
        <v>3</v>
      </c>
      <c r="K5" s="2" t="s">
        <v>5</v>
      </c>
      <c r="L5" t="s">
        <v>2</v>
      </c>
    </row>
    <row r="6" spans="1:12" x14ac:dyDescent="0.3">
      <c r="A6">
        <v>480</v>
      </c>
      <c r="D6" s="3" t="s">
        <v>1281</v>
      </c>
      <c r="E6">
        <v>20</v>
      </c>
      <c r="G6" s="3" t="s">
        <v>1281</v>
      </c>
      <c r="H6" s="1">
        <v>5.5</v>
      </c>
      <c r="K6" s="3" t="s">
        <v>1281</v>
      </c>
      <c r="L6" s="1">
        <v>31.5</v>
      </c>
    </row>
    <row r="7" spans="1:12" x14ac:dyDescent="0.3">
      <c r="D7" s="3" t="s">
        <v>1282</v>
      </c>
      <c r="E7">
        <v>16</v>
      </c>
      <c r="G7" s="3" t="s">
        <v>1282</v>
      </c>
      <c r="H7" s="1">
        <v>3.3333333333333335</v>
      </c>
      <c r="K7" s="3" t="s">
        <v>1282</v>
      </c>
      <c r="L7" s="1">
        <v>34.25</v>
      </c>
    </row>
    <row r="8" spans="1:12" x14ac:dyDescent="0.3">
      <c r="D8" s="3" t="s">
        <v>1283</v>
      </c>
      <c r="E8">
        <v>20</v>
      </c>
      <c r="G8" s="3" t="s">
        <v>1283</v>
      </c>
      <c r="H8" s="1">
        <v>6</v>
      </c>
      <c r="K8" s="3" t="s">
        <v>1283</v>
      </c>
      <c r="L8" s="1">
        <v>41.1</v>
      </c>
    </row>
    <row r="9" spans="1:12" x14ac:dyDescent="0.3">
      <c r="A9" t="s">
        <v>2</v>
      </c>
      <c r="D9" s="3" t="s">
        <v>1284</v>
      </c>
      <c r="E9">
        <v>16</v>
      </c>
      <c r="G9" s="3" t="s">
        <v>1284</v>
      </c>
      <c r="H9" s="1">
        <v>4.8</v>
      </c>
      <c r="K9" s="3" t="s">
        <v>1284</v>
      </c>
      <c r="L9" s="1">
        <v>31</v>
      </c>
    </row>
    <row r="10" spans="1:12" x14ac:dyDescent="0.3">
      <c r="A10" s="1">
        <v>34.429166666666667</v>
      </c>
      <c r="D10" s="3" t="s">
        <v>1285</v>
      </c>
      <c r="E10">
        <v>18</v>
      </c>
      <c r="G10" s="3" t="s">
        <v>1285</v>
      </c>
      <c r="H10" s="1">
        <v>5.5</v>
      </c>
      <c r="K10" s="3" t="s">
        <v>1285</v>
      </c>
      <c r="L10" s="1">
        <v>33.666666666666664</v>
      </c>
    </row>
    <row r="11" spans="1:12" x14ac:dyDescent="0.3">
      <c r="D11" s="3" t="s">
        <v>1286</v>
      </c>
      <c r="E11">
        <v>16</v>
      </c>
      <c r="G11" s="3" t="s">
        <v>1286</v>
      </c>
      <c r="H11" s="1">
        <v>5.25</v>
      </c>
      <c r="K11" s="3" t="s">
        <v>1286</v>
      </c>
      <c r="L11" s="1">
        <v>34.5625</v>
      </c>
    </row>
    <row r="12" spans="1:12" x14ac:dyDescent="0.3">
      <c r="D12" s="3" t="s">
        <v>1287</v>
      </c>
      <c r="E12">
        <v>15</v>
      </c>
      <c r="G12" s="3" t="s">
        <v>1287</v>
      </c>
      <c r="H12" s="1">
        <v>4.8</v>
      </c>
      <c r="K12" s="3" t="s">
        <v>1287</v>
      </c>
      <c r="L12" s="1">
        <v>34.93333333333333</v>
      </c>
    </row>
    <row r="13" spans="1:12" x14ac:dyDescent="0.3">
      <c r="D13" s="3" t="s">
        <v>1288</v>
      </c>
      <c r="E13">
        <v>20</v>
      </c>
      <c r="G13" s="3" t="s">
        <v>1288</v>
      </c>
      <c r="H13" s="1">
        <v>4.5</v>
      </c>
      <c r="K13" s="3" t="s">
        <v>1288</v>
      </c>
      <c r="L13" s="1">
        <v>36.4</v>
      </c>
    </row>
    <row r="14" spans="1:12" x14ac:dyDescent="0.3">
      <c r="A14" t="s">
        <v>3</v>
      </c>
      <c r="D14" s="3" t="s">
        <v>1289</v>
      </c>
      <c r="E14">
        <v>20</v>
      </c>
      <c r="G14" s="3" t="s">
        <v>1289</v>
      </c>
      <c r="H14" s="1">
        <v>5</v>
      </c>
      <c r="K14" s="3" t="s">
        <v>1289</v>
      </c>
      <c r="L14" s="1">
        <v>35.549999999999997</v>
      </c>
    </row>
    <row r="15" spans="1:12" x14ac:dyDescent="0.3">
      <c r="A15" s="1">
        <v>5.1640625</v>
      </c>
      <c r="D15" s="3" t="s">
        <v>1290</v>
      </c>
      <c r="E15">
        <v>13</v>
      </c>
      <c r="G15" s="3" t="s">
        <v>1290</v>
      </c>
      <c r="H15" s="1">
        <v>5.333333333333333</v>
      </c>
      <c r="K15" s="3" t="s">
        <v>1290</v>
      </c>
      <c r="L15" s="1">
        <v>30.692307692307693</v>
      </c>
    </row>
    <row r="16" spans="1:12" x14ac:dyDescent="0.3">
      <c r="D16" s="3" t="s">
        <v>1291</v>
      </c>
      <c r="E16">
        <v>18</v>
      </c>
      <c r="G16" s="3" t="s">
        <v>1291</v>
      </c>
      <c r="H16" s="1">
        <v>4.4000000000000004</v>
      </c>
      <c r="K16" s="3" t="s">
        <v>1291</v>
      </c>
      <c r="L16" s="1">
        <v>33.611111111111114</v>
      </c>
    </row>
    <row r="17" spans="4:12" x14ac:dyDescent="0.3">
      <c r="D17" s="3" t="s">
        <v>1292</v>
      </c>
      <c r="E17">
        <v>11</v>
      </c>
      <c r="G17" s="3" t="s">
        <v>1292</v>
      </c>
      <c r="H17" s="1">
        <v>3.25</v>
      </c>
      <c r="K17" s="3" t="s">
        <v>1292</v>
      </c>
      <c r="L17" s="1">
        <v>37.81818181818182</v>
      </c>
    </row>
    <row r="18" spans="4:12" x14ac:dyDescent="0.3">
      <c r="D18" s="3" t="s">
        <v>1293</v>
      </c>
      <c r="E18">
        <v>13</v>
      </c>
      <c r="G18" s="3" t="s">
        <v>1293</v>
      </c>
      <c r="H18" s="1">
        <v>6</v>
      </c>
      <c r="K18" s="3" t="s">
        <v>1293</v>
      </c>
      <c r="L18" s="1">
        <v>40</v>
      </c>
    </row>
    <row r="19" spans="4:12" x14ac:dyDescent="0.3">
      <c r="D19" s="3" t="s">
        <v>1294</v>
      </c>
      <c r="E19">
        <v>14</v>
      </c>
      <c r="G19" s="3" t="s">
        <v>1294</v>
      </c>
      <c r="H19" s="1">
        <v>3.3333333333333335</v>
      </c>
      <c r="K19" s="3" t="s">
        <v>1294</v>
      </c>
      <c r="L19" s="1">
        <v>32</v>
      </c>
    </row>
    <row r="20" spans="4:12" x14ac:dyDescent="0.3">
      <c r="D20" s="3" t="s">
        <v>1295</v>
      </c>
      <c r="E20">
        <v>7</v>
      </c>
      <c r="G20" s="3" t="s">
        <v>1296</v>
      </c>
      <c r="H20" s="1">
        <v>6.7</v>
      </c>
      <c r="K20" s="3" t="s">
        <v>1295</v>
      </c>
      <c r="L20" s="1">
        <v>31.857142857142858</v>
      </c>
    </row>
    <row r="21" spans="4:12" x14ac:dyDescent="0.3">
      <c r="D21" s="3" t="s">
        <v>1296</v>
      </c>
      <c r="E21">
        <v>21</v>
      </c>
      <c r="G21" s="3" t="s">
        <v>1297</v>
      </c>
      <c r="H21" s="1">
        <v>7.75</v>
      </c>
      <c r="K21" s="3" t="s">
        <v>1296</v>
      </c>
      <c r="L21" s="1">
        <v>31.142857142857142</v>
      </c>
    </row>
    <row r="22" spans="4:12" x14ac:dyDescent="0.3">
      <c r="D22" s="3" t="s">
        <v>1297</v>
      </c>
      <c r="E22">
        <v>16</v>
      </c>
      <c r="G22" s="3" t="s">
        <v>1298</v>
      </c>
      <c r="H22" s="1">
        <v>5.5</v>
      </c>
      <c r="K22" s="3" t="s">
        <v>1297</v>
      </c>
      <c r="L22" s="1">
        <v>29.5</v>
      </c>
    </row>
    <row r="23" spans="4:12" x14ac:dyDescent="0.3">
      <c r="D23" s="3" t="s">
        <v>1298</v>
      </c>
      <c r="E23">
        <v>15</v>
      </c>
      <c r="G23" s="3" t="s">
        <v>1299</v>
      </c>
      <c r="H23" s="1">
        <v>4.5</v>
      </c>
      <c r="K23" s="3" t="s">
        <v>1298</v>
      </c>
      <c r="L23" s="1">
        <v>30.666666666666668</v>
      </c>
    </row>
    <row r="24" spans="4:12" x14ac:dyDescent="0.3">
      <c r="D24" s="3" t="s">
        <v>1299</v>
      </c>
      <c r="E24">
        <v>15</v>
      </c>
      <c r="G24" s="3" t="s">
        <v>1300</v>
      </c>
      <c r="H24" s="1">
        <v>6</v>
      </c>
      <c r="K24" s="3" t="s">
        <v>1299</v>
      </c>
      <c r="L24" s="1">
        <v>39.06666666666667</v>
      </c>
    </row>
    <row r="25" spans="4:12" x14ac:dyDescent="0.3">
      <c r="D25" s="3" t="s">
        <v>1300</v>
      </c>
      <c r="E25">
        <v>14</v>
      </c>
      <c r="G25" s="3" t="s">
        <v>1301</v>
      </c>
      <c r="H25" s="1">
        <v>5.75</v>
      </c>
      <c r="K25" s="3" t="s">
        <v>1300</v>
      </c>
      <c r="L25" s="1">
        <v>32.857142857142854</v>
      </c>
    </row>
    <row r="26" spans="4:12" x14ac:dyDescent="0.3">
      <c r="D26" s="3" t="s">
        <v>1301</v>
      </c>
      <c r="E26">
        <v>16</v>
      </c>
      <c r="G26" s="3" t="s">
        <v>1302</v>
      </c>
      <c r="H26" s="1">
        <v>3.1428571428571428</v>
      </c>
      <c r="K26" s="3" t="s">
        <v>1301</v>
      </c>
      <c r="L26" s="1">
        <v>38.3125</v>
      </c>
    </row>
    <row r="27" spans="4:12" x14ac:dyDescent="0.3">
      <c r="D27" s="3" t="s">
        <v>1302</v>
      </c>
      <c r="E27">
        <v>21</v>
      </c>
      <c r="G27" s="3" t="s">
        <v>1303</v>
      </c>
      <c r="H27" s="1">
        <v>4</v>
      </c>
      <c r="K27" s="3" t="s">
        <v>1302</v>
      </c>
      <c r="L27" s="1">
        <v>35.80952380952381</v>
      </c>
    </row>
    <row r="28" spans="4:12" x14ac:dyDescent="0.3">
      <c r="D28" s="3" t="s">
        <v>1303</v>
      </c>
      <c r="E28">
        <v>13</v>
      </c>
      <c r="G28" s="3" t="s">
        <v>1304</v>
      </c>
      <c r="H28" s="1">
        <v>6.5</v>
      </c>
      <c r="K28" s="3" t="s">
        <v>1303</v>
      </c>
      <c r="L28" s="1">
        <v>33.153846153846153</v>
      </c>
    </row>
    <row r="29" spans="4:12" x14ac:dyDescent="0.3">
      <c r="D29" s="3" t="s">
        <v>1304</v>
      </c>
      <c r="E29">
        <v>11</v>
      </c>
      <c r="G29" s="3" t="s">
        <v>1305</v>
      </c>
      <c r="H29" s="1">
        <v>4</v>
      </c>
      <c r="K29" s="3" t="s">
        <v>1304</v>
      </c>
      <c r="L29" s="1">
        <v>39.18181818181818</v>
      </c>
    </row>
    <row r="30" spans="4:12" x14ac:dyDescent="0.3">
      <c r="D30" s="3" t="s">
        <v>1305</v>
      </c>
      <c r="E30">
        <v>16</v>
      </c>
      <c r="G30" s="3" t="s">
        <v>1306</v>
      </c>
      <c r="H30" s="1">
        <v>7.333333333333333</v>
      </c>
      <c r="K30" s="3" t="s">
        <v>1305</v>
      </c>
      <c r="L30" s="1">
        <v>36.3125</v>
      </c>
    </row>
    <row r="31" spans="4:12" x14ac:dyDescent="0.3">
      <c r="D31" s="3" t="s">
        <v>1306</v>
      </c>
      <c r="E31">
        <v>11</v>
      </c>
      <c r="G31" s="3" t="s">
        <v>1307</v>
      </c>
      <c r="H31" s="1">
        <v>5.333333333333333</v>
      </c>
      <c r="K31" s="3" t="s">
        <v>1306</v>
      </c>
      <c r="L31" s="1">
        <v>33</v>
      </c>
    </row>
    <row r="32" spans="4:12" x14ac:dyDescent="0.3">
      <c r="D32" s="3" t="s">
        <v>1307</v>
      </c>
      <c r="E32">
        <v>14</v>
      </c>
      <c r="G32" s="3" t="s">
        <v>1308</v>
      </c>
      <c r="H32" s="1">
        <v>4.75</v>
      </c>
      <c r="K32" s="3" t="s">
        <v>1307</v>
      </c>
      <c r="L32" s="1">
        <v>32.857142857142854</v>
      </c>
    </row>
    <row r="33" spans="1:12" x14ac:dyDescent="0.3">
      <c r="D33" s="3" t="s">
        <v>1308</v>
      </c>
      <c r="E33">
        <v>10</v>
      </c>
      <c r="G33" s="3" t="s">
        <v>1309</v>
      </c>
      <c r="H33" s="1">
        <v>4</v>
      </c>
      <c r="K33" s="3" t="s">
        <v>1308</v>
      </c>
      <c r="L33" s="1">
        <v>36.799999999999997</v>
      </c>
    </row>
    <row r="34" spans="1:12" x14ac:dyDescent="0.3">
      <c r="D34" s="3" t="s">
        <v>1309</v>
      </c>
      <c r="E34">
        <v>15</v>
      </c>
      <c r="G34" s="3" t="s">
        <v>1310</v>
      </c>
      <c r="H34" s="1">
        <v>4</v>
      </c>
      <c r="K34" s="3" t="s">
        <v>1309</v>
      </c>
      <c r="L34" s="1">
        <v>32.866666666666667</v>
      </c>
    </row>
    <row r="35" spans="1:12" x14ac:dyDescent="0.3">
      <c r="D35" s="3" t="s">
        <v>1310</v>
      </c>
      <c r="E35">
        <v>24</v>
      </c>
      <c r="G35" s="3" t="s">
        <v>1311</v>
      </c>
      <c r="H35" s="1">
        <v>8.3333333333333339</v>
      </c>
      <c r="K35" s="3" t="s">
        <v>1310</v>
      </c>
      <c r="L35" s="1">
        <v>32.375</v>
      </c>
    </row>
    <row r="36" spans="1:12" x14ac:dyDescent="0.3">
      <c r="D36" s="3" t="s">
        <v>1311</v>
      </c>
      <c r="E36">
        <v>11</v>
      </c>
      <c r="G36" s="3" t="s">
        <v>4</v>
      </c>
      <c r="H36" s="1">
        <v>5.1640625</v>
      </c>
      <c r="K36" s="3" t="s">
        <v>1311</v>
      </c>
      <c r="L36" s="1">
        <v>36</v>
      </c>
    </row>
    <row r="37" spans="1:12" x14ac:dyDescent="0.3">
      <c r="D37" s="3" t="s">
        <v>4</v>
      </c>
      <c r="E37">
        <v>480</v>
      </c>
      <c r="K37" s="3" t="s">
        <v>4</v>
      </c>
      <c r="L37" s="1">
        <v>34.429166666666667</v>
      </c>
    </row>
    <row r="39" spans="1:12" x14ac:dyDescent="0.3">
      <c r="F39" t="s">
        <v>27</v>
      </c>
    </row>
    <row r="41" spans="1:12" x14ac:dyDescent="0.3">
      <c r="A41" s="2" t="s">
        <v>5</v>
      </c>
      <c r="B41" t="s">
        <v>12</v>
      </c>
      <c r="C41" t="s">
        <v>15</v>
      </c>
      <c r="F41" s="2" t="s">
        <v>5</v>
      </c>
      <c r="G41" t="s">
        <v>26</v>
      </c>
      <c r="I41" s="2" t="s">
        <v>5</v>
      </c>
      <c r="J41" t="s">
        <v>1278</v>
      </c>
    </row>
    <row r="42" spans="1:12" x14ac:dyDescent="0.3">
      <c r="A42" s="3" t="s">
        <v>13</v>
      </c>
      <c r="B42" s="1">
        <v>229</v>
      </c>
      <c r="C42" s="6">
        <v>0.47708333333333336</v>
      </c>
      <c r="F42" s="3" t="s">
        <v>18</v>
      </c>
      <c r="G42" s="7">
        <v>63</v>
      </c>
      <c r="I42" s="3" t="s">
        <v>91</v>
      </c>
      <c r="J42" s="7">
        <v>261</v>
      </c>
    </row>
    <row r="43" spans="1:12" x14ac:dyDescent="0.3">
      <c r="A43" s="3" t="s">
        <v>14</v>
      </c>
      <c r="B43" s="1">
        <v>251</v>
      </c>
      <c r="C43" s="6">
        <v>0.5229166666666667</v>
      </c>
      <c r="F43" s="3" t="s">
        <v>19</v>
      </c>
      <c r="G43" s="7">
        <v>49</v>
      </c>
      <c r="I43" s="3" t="s">
        <v>46</v>
      </c>
      <c r="J43" s="7">
        <v>219</v>
      </c>
    </row>
    <row r="44" spans="1:12" x14ac:dyDescent="0.3">
      <c r="A44" s="3" t="s">
        <v>4</v>
      </c>
      <c r="B44" s="1">
        <v>480</v>
      </c>
      <c r="C44" s="6">
        <v>1</v>
      </c>
      <c r="F44" s="3" t="s">
        <v>20</v>
      </c>
      <c r="G44" s="7">
        <v>57</v>
      </c>
      <c r="I44" s="3" t="s">
        <v>4</v>
      </c>
      <c r="J44" s="7">
        <v>480</v>
      </c>
    </row>
    <row r="45" spans="1:12" x14ac:dyDescent="0.3">
      <c r="F45" s="3" t="s">
        <v>21</v>
      </c>
      <c r="G45" s="7">
        <v>73</v>
      </c>
    </row>
    <row r="46" spans="1:12" x14ac:dyDescent="0.3">
      <c r="F46" s="3" t="s">
        <v>22</v>
      </c>
      <c r="G46" s="7">
        <v>63</v>
      </c>
    </row>
    <row r="47" spans="1:12" x14ac:dyDescent="0.3">
      <c r="F47" s="3" t="s">
        <v>23</v>
      </c>
      <c r="G47" s="7">
        <v>60</v>
      </c>
      <c r="I47" s="2" t="s">
        <v>5</v>
      </c>
      <c r="J47" t="s">
        <v>1279</v>
      </c>
    </row>
    <row r="48" spans="1:12" x14ac:dyDescent="0.3">
      <c r="F48" s="3" t="s">
        <v>24</v>
      </c>
      <c r="G48" s="7">
        <v>57</v>
      </c>
      <c r="I48" s="3" t="s">
        <v>934</v>
      </c>
      <c r="J48" s="7">
        <v>6</v>
      </c>
    </row>
    <row r="49" spans="1:10" x14ac:dyDescent="0.3">
      <c r="A49" s="14" t="s">
        <v>16</v>
      </c>
      <c r="B49" s="14" t="s">
        <v>1</v>
      </c>
      <c r="C49" s="14" t="s">
        <v>17</v>
      </c>
      <c r="D49" s="15"/>
      <c r="F49" s="3" t="s">
        <v>25</v>
      </c>
      <c r="G49" s="7">
        <v>58</v>
      </c>
      <c r="I49" s="3" t="s">
        <v>882</v>
      </c>
      <c r="J49" s="7">
        <v>11</v>
      </c>
    </row>
    <row r="50" spans="1:10" x14ac:dyDescent="0.3">
      <c r="A50" s="12" t="str">
        <f>A43</f>
        <v>Not Admitted</v>
      </c>
      <c r="B50" s="12">
        <f>B43</f>
        <v>251</v>
      </c>
      <c r="C50" s="13">
        <f>C43</f>
        <v>0.5229166666666667</v>
      </c>
      <c r="D50" s="11"/>
      <c r="F50" s="3" t="s">
        <v>4</v>
      </c>
      <c r="G50" s="7">
        <v>480</v>
      </c>
      <c r="I50" s="3" t="s">
        <v>851</v>
      </c>
      <c r="J50" s="7">
        <v>12</v>
      </c>
    </row>
    <row r="51" spans="1:10" x14ac:dyDescent="0.3">
      <c r="A51" s="12" t="str">
        <f>A42</f>
        <v>Admitted</v>
      </c>
      <c r="B51" s="12">
        <f>B42</f>
        <v>229</v>
      </c>
      <c r="C51" s="13">
        <f>C42</f>
        <v>0.47708333333333336</v>
      </c>
      <c r="D51" s="11"/>
      <c r="I51" s="3" t="s">
        <v>911</v>
      </c>
      <c r="J51" s="7">
        <v>12</v>
      </c>
    </row>
    <row r="52" spans="1:10" x14ac:dyDescent="0.3">
      <c r="A52" s="11"/>
      <c r="B52" s="11"/>
      <c r="C52" s="11"/>
      <c r="D52" s="11"/>
      <c r="I52" s="3" t="s">
        <v>822</v>
      </c>
      <c r="J52" s="7">
        <v>20</v>
      </c>
    </row>
    <row r="53" spans="1:10" x14ac:dyDescent="0.3">
      <c r="F53" s="2" t="s">
        <v>5</v>
      </c>
      <c r="G53" t="s">
        <v>30</v>
      </c>
      <c r="I53" s="3" t="s">
        <v>733</v>
      </c>
      <c r="J53" s="7">
        <v>35</v>
      </c>
    </row>
    <row r="54" spans="1:10" x14ac:dyDescent="0.3">
      <c r="F54" s="3" t="s">
        <v>28</v>
      </c>
      <c r="G54" s="7">
        <v>267</v>
      </c>
      <c r="I54" s="3" t="s">
        <v>568</v>
      </c>
      <c r="J54" s="7">
        <v>93</v>
      </c>
    </row>
    <row r="55" spans="1:10" x14ac:dyDescent="0.3">
      <c r="F55" s="3" t="s">
        <v>29</v>
      </c>
      <c r="G55" s="7">
        <v>213</v>
      </c>
      <c r="I55" s="3" t="s">
        <v>48</v>
      </c>
      <c r="J55" s="7">
        <v>291</v>
      </c>
    </row>
    <row r="56" spans="1:10" x14ac:dyDescent="0.3">
      <c r="F56" s="3" t="s">
        <v>4</v>
      </c>
      <c r="G56" s="7">
        <v>480</v>
      </c>
      <c r="I56" s="3" t="s">
        <v>4</v>
      </c>
      <c r="J56" s="7">
        <v>480</v>
      </c>
    </row>
    <row r="59" spans="1:10" x14ac:dyDescent="0.3">
      <c r="F59" s="2" t="s">
        <v>5</v>
      </c>
    </row>
    <row r="60" spans="1:10" x14ac:dyDescent="0.3">
      <c r="F60" s="3" t="s">
        <v>1280</v>
      </c>
    </row>
    <row r="61" spans="1:10" x14ac:dyDescent="0.3">
      <c r="F61" s="3" t="s">
        <v>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92CF-8DDA-4729-B6F5-F8CA570AE58B}">
  <dimension ref="A1:P18"/>
  <sheetViews>
    <sheetView zoomScale="109" zoomScaleNormal="160" workbookViewId="0">
      <selection activeCell="K22" sqref="K22"/>
    </sheetView>
  </sheetViews>
  <sheetFormatPr defaultRowHeight="14.4" x14ac:dyDescent="0.3"/>
  <cols>
    <col min="15" max="15" width="10" bestFit="1" customWidth="1"/>
  </cols>
  <sheetData>
    <row r="1" spans="1:16" x14ac:dyDescent="0.3">
      <c r="A1" s="16"/>
      <c r="B1" s="16"/>
      <c r="C1" s="16"/>
      <c r="D1" s="16"/>
      <c r="E1" s="16"/>
      <c r="F1" s="16"/>
      <c r="G1" s="16"/>
      <c r="H1" s="16"/>
      <c r="I1" s="16"/>
      <c r="J1" s="16"/>
      <c r="K1" s="16"/>
      <c r="L1" s="16"/>
      <c r="M1" s="16"/>
    </row>
    <row r="2" spans="1:16" x14ac:dyDescent="0.3">
      <c r="A2" s="16"/>
      <c r="B2" s="16"/>
      <c r="C2" s="16"/>
      <c r="D2" s="16"/>
      <c r="E2" s="16"/>
      <c r="F2" s="16"/>
      <c r="G2" s="16"/>
      <c r="H2" s="16"/>
      <c r="I2" s="16"/>
      <c r="J2" s="16"/>
      <c r="K2" s="16"/>
      <c r="L2" s="16"/>
      <c r="M2" s="16"/>
      <c r="P2" s="5"/>
    </row>
    <row r="3" spans="1:16" x14ac:dyDescent="0.3">
      <c r="A3" s="16"/>
      <c r="B3" s="16"/>
      <c r="C3" s="16"/>
      <c r="D3" s="16"/>
      <c r="E3" s="16"/>
      <c r="F3" s="16"/>
      <c r="G3" s="16"/>
      <c r="H3" s="16"/>
      <c r="I3" s="16"/>
      <c r="J3" s="16"/>
      <c r="K3" s="16"/>
      <c r="L3" s="16"/>
      <c r="M3" s="16"/>
    </row>
    <row r="4" spans="1:16" x14ac:dyDescent="0.3">
      <c r="A4" s="16"/>
      <c r="B4" s="16"/>
      <c r="C4" s="16"/>
      <c r="D4" s="16"/>
      <c r="E4" s="16"/>
      <c r="F4" s="16"/>
      <c r="G4" s="16"/>
      <c r="H4" s="16"/>
      <c r="I4" s="16"/>
      <c r="J4" s="16"/>
      <c r="K4" s="16"/>
      <c r="L4" s="16"/>
      <c r="M4" s="16"/>
    </row>
    <row r="5" spans="1:16" x14ac:dyDescent="0.3">
      <c r="A5" s="16"/>
      <c r="B5" s="16"/>
      <c r="C5" s="16"/>
      <c r="D5" s="16"/>
      <c r="E5" s="16"/>
      <c r="F5" s="16"/>
      <c r="G5" s="16"/>
      <c r="H5" s="16"/>
      <c r="I5" s="16"/>
      <c r="J5" s="16"/>
      <c r="K5" s="16"/>
      <c r="L5" s="16"/>
      <c r="M5" s="16"/>
    </row>
    <row r="6" spans="1:16" x14ac:dyDescent="0.3">
      <c r="A6" s="16"/>
      <c r="B6" s="16"/>
      <c r="C6" s="16"/>
      <c r="D6" s="16"/>
      <c r="E6" s="16"/>
      <c r="F6" s="16"/>
      <c r="G6" s="16"/>
      <c r="H6" s="16"/>
      <c r="I6" s="16"/>
      <c r="J6" s="16"/>
      <c r="K6" s="16"/>
      <c r="L6" s="16"/>
      <c r="M6" s="16"/>
    </row>
    <row r="7" spans="1:16" x14ac:dyDescent="0.3">
      <c r="A7" s="16"/>
      <c r="B7" s="16"/>
      <c r="C7" s="16"/>
      <c r="D7" s="16"/>
      <c r="E7" s="16"/>
      <c r="F7" s="16"/>
      <c r="G7" s="16"/>
      <c r="H7" s="16"/>
      <c r="I7" s="16"/>
      <c r="J7" s="16"/>
      <c r="K7" s="16"/>
      <c r="L7" s="16"/>
      <c r="M7" s="16"/>
    </row>
    <row r="8" spans="1:16" x14ac:dyDescent="0.3">
      <c r="A8" s="16"/>
      <c r="B8" s="16"/>
      <c r="C8" s="16"/>
      <c r="D8" s="16"/>
      <c r="E8" s="16"/>
      <c r="F8" s="16"/>
      <c r="G8" s="16"/>
      <c r="H8" s="16"/>
      <c r="I8" s="16"/>
      <c r="J8" s="16"/>
      <c r="K8" s="16"/>
      <c r="L8" s="16"/>
      <c r="M8" s="16"/>
    </row>
    <row r="9" spans="1:16" x14ac:dyDescent="0.3">
      <c r="A9" s="16"/>
      <c r="B9" s="16"/>
      <c r="C9" s="16"/>
      <c r="D9" s="16"/>
      <c r="E9" s="16"/>
      <c r="F9" s="16"/>
      <c r="G9" s="16"/>
      <c r="H9" s="16"/>
      <c r="I9" s="16"/>
      <c r="J9" s="16"/>
      <c r="K9" s="16"/>
      <c r="L9" s="16"/>
      <c r="M9" s="16"/>
    </row>
    <row r="10" spans="1:16" x14ac:dyDescent="0.3">
      <c r="A10" s="16"/>
      <c r="B10" s="16"/>
      <c r="C10" s="16"/>
      <c r="D10" s="16"/>
      <c r="E10" s="16"/>
      <c r="F10" s="16"/>
      <c r="G10" s="16"/>
      <c r="H10" s="16"/>
      <c r="I10" s="16"/>
      <c r="J10" s="16"/>
      <c r="K10" s="16"/>
      <c r="L10" s="16"/>
      <c r="M10" s="16"/>
    </row>
    <row r="11" spans="1:16" x14ac:dyDescent="0.3">
      <c r="A11" s="16"/>
      <c r="B11" s="16"/>
      <c r="C11" s="16"/>
      <c r="D11" s="16"/>
      <c r="E11" s="16"/>
      <c r="F11" s="16"/>
      <c r="G11" s="16"/>
      <c r="H11" s="16"/>
      <c r="I11" s="16"/>
      <c r="J11" s="16"/>
      <c r="K11" s="16"/>
      <c r="L11" s="16"/>
      <c r="M11" s="16"/>
    </row>
    <row r="12" spans="1:16" x14ac:dyDescent="0.3">
      <c r="A12" s="16"/>
      <c r="B12" s="16"/>
      <c r="C12" s="16"/>
      <c r="D12" s="16"/>
      <c r="E12" s="16"/>
      <c r="F12" s="16"/>
      <c r="G12" s="16"/>
      <c r="H12" s="16"/>
      <c r="I12" s="16"/>
      <c r="J12" s="16"/>
      <c r="K12" s="16"/>
      <c r="L12" s="16"/>
      <c r="M12" s="16"/>
    </row>
    <row r="13" spans="1:16" x14ac:dyDescent="0.3">
      <c r="A13" s="16"/>
      <c r="B13" s="16"/>
      <c r="C13" s="16"/>
      <c r="D13" s="16"/>
      <c r="E13" s="16"/>
      <c r="F13" s="16"/>
      <c r="G13" s="16"/>
      <c r="H13" s="16"/>
      <c r="I13" s="16"/>
      <c r="J13" s="16"/>
      <c r="K13" s="16"/>
      <c r="L13" s="16"/>
      <c r="M13" s="16"/>
    </row>
    <row r="14" spans="1:16" x14ac:dyDescent="0.3">
      <c r="A14" s="16"/>
      <c r="B14" s="16"/>
      <c r="C14" s="16"/>
      <c r="D14" s="16"/>
      <c r="E14" s="16"/>
      <c r="F14" s="16"/>
      <c r="G14" s="16"/>
      <c r="H14" s="16"/>
      <c r="I14" s="16"/>
      <c r="J14" s="16"/>
      <c r="K14" s="16"/>
      <c r="L14" s="16"/>
      <c r="M14" s="16"/>
    </row>
    <row r="15" spans="1:16" x14ac:dyDescent="0.3">
      <c r="A15" s="16"/>
      <c r="B15" s="16"/>
      <c r="C15" s="16"/>
      <c r="D15" s="16"/>
      <c r="E15" s="16"/>
      <c r="F15" s="16"/>
      <c r="G15" s="16"/>
      <c r="H15" s="16"/>
      <c r="I15" s="16"/>
      <c r="J15" s="16"/>
      <c r="K15" s="16"/>
      <c r="L15" s="16"/>
      <c r="M15" s="16"/>
    </row>
    <row r="16" spans="1:16" x14ac:dyDescent="0.3">
      <c r="A16" s="16"/>
      <c r="B16" s="16"/>
      <c r="C16" s="16"/>
      <c r="D16" s="16"/>
      <c r="E16" s="16"/>
      <c r="F16" s="16"/>
      <c r="G16" s="16"/>
      <c r="H16" s="16"/>
      <c r="I16" s="16"/>
      <c r="J16" s="16"/>
      <c r="K16" s="16"/>
      <c r="L16" s="16"/>
      <c r="M16" s="16"/>
    </row>
    <row r="17" spans="1:13" x14ac:dyDescent="0.3">
      <c r="A17" s="16"/>
      <c r="B17" s="16"/>
      <c r="C17" s="16"/>
      <c r="D17" s="16"/>
      <c r="E17" s="16"/>
      <c r="F17" s="16"/>
      <c r="G17" s="16"/>
      <c r="H17" s="16"/>
      <c r="I17" s="16"/>
      <c r="J17" s="16"/>
      <c r="K17" s="16"/>
      <c r="L17" s="16"/>
      <c r="M17" s="16"/>
    </row>
    <row r="18" spans="1:13" x14ac:dyDescent="0.3">
      <c r="A18" s="16"/>
      <c r="B18" s="16"/>
      <c r="C18" s="16"/>
      <c r="D18" s="16"/>
      <c r="E18" s="16"/>
      <c r="F18" s="16"/>
      <c r="G18" s="16"/>
      <c r="H18" s="16"/>
      <c r="I18" s="16"/>
      <c r="J18" s="16"/>
      <c r="K18" s="16"/>
      <c r="L18" s="16"/>
      <c r="M18"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33B1-A5ED-4B9B-84B7-6414C56E7375}">
  <dimension ref="A18:S21"/>
  <sheetViews>
    <sheetView zoomScale="111" workbookViewId="0"/>
  </sheetViews>
  <sheetFormatPr defaultRowHeight="14.4" x14ac:dyDescent="0.3"/>
  <sheetData>
    <row r="18" spans="1:19" x14ac:dyDescent="0.3">
      <c r="B18" s="4"/>
    </row>
    <row r="20" spans="1:19" x14ac:dyDescent="0.3">
      <c r="A20" s="17" t="s">
        <v>9</v>
      </c>
      <c r="B20" s="17"/>
      <c r="C20" s="17"/>
      <c r="D20" s="17"/>
      <c r="E20" s="17"/>
      <c r="F20" s="17"/>
      <c r="G20" s="17"/>
      <c r="H20" s="17"/>
      <c r="I20" s="17"/>
      <c r="J20" s="17"/>
      <c r="K20" s="17"/>
      <c r="L20" s="17"/>
      <c r="M20" s="17"/>
      <c r="N20" s="17"/>
      <c r="O20" s="17"/>
      <c r="P20" s="17"/>
      <c r="Q20" s="17"/>
      <c r="R20" s="17"/>
      <c r="S20" s="17"/>
    </row>
    <row r="21" spans="1:19" x14ac:dyDescent="0.3">
      <c r="A21" s="17"/>
      <c r="B21" s="17"/>
      <c r="C21" s="17"/>
      <c r="D21" s="17"/>
      <c r="E21" s="17"/>
      <c r="F21" s="17"/>
      <c r="G21" s="17"/>
      <c r="H21" s="17"/>
      <c r="I21" s="17"/>
      <c r="J21" s="17"/>
      <c r="K21" s="17"/>
      <c r="L21" s="17"/>
      <c r="M21" s="17"/>
      <c r="N21" s="17"/>
      <c r="O21" s="17"/>
      <c r="P21" s="17"/>
      <c r="Q21" s="17"/>
      <c r="R21" s="17"/>
      <c r="S21" s="17"/>
    </row>
  </sheetData>
  <mergeCells count="1">
    <mergeCell ref="A20:S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82F5A-4799-44DF-A9C0-96CA24C5CD1E}">
  <dimension ref="A22:S23"/>
  <sheetViews>
    <sheetView zoomScale="90" workbookViewId="0"/>
  </sheetViews>
  <sheetFormatPr defaultRowHeight="14.4" x14ac:dyDescent="0.3"/>
  <sheetData>
    <row r="22" spans="1:19" x14ac:dyDescent="0.3">
      <c r="A22" s="17" t="s">
        <v>10</v>
      </c>
      <c r="B22" s="17"/>
      <c r="C22" s="17"/>
      <c r="D22" s="17"/>
      <c r="E22" s="17"/>
      <c r="F22" s="17"/>
      <c r="G22" s="17"/>
      <c r="H22" s="17"/>
      <c r="I22" s="17"/>
      <c r="J22" s="17"/>
      <c r="K22" s="17"/>
      <c r="L22" s="17"/>
      <c r="M22" s="17"/>
      <c r="N22" s="17"/>
      <c r="O22" s="17"/>
      <c r="P22" s="17"/>
      <c r="Q22" s="17"/>
      <c r="R22" s="17"/>
      <c r="S22" s="17"/>
    </row>
    <row r="23" spans="1:19" x14ac:dyDescent="0.3">
      <c r="A23" s="17"/>
      <c r="B23" s="17"/>
      <c r="C23" s="17"/>
      <c r="D23" s="17"/>
      <c r="E23" s="17"/>
      <c r="F23" s="17"/>
      <c r="G23" s="17"/>
      <c r="H23" s="17"/>
      <c r="I23" s="17"/>
      <c r="J23" s="17"/>
      <c r="K23" s="17"/>
      <c r="L23" s="17"/>
      <c r="M23" s="17"/>
      <c r="N23" s="17"/>
      <c r="O23" s="17"/>
      <c r="P23" s="17"/>
      <c r="Q23" s="17"/>
      <c r="R23" s="17"/>
      <c r="S23" s="17"/>
    </row>
  </sheetData>
  <mergeCells count="1">
    <mergeCell ref="A22:S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4F7E-16B8-4D24-9F0D-27F4CE4C8EB2}">
  <dimension ref="A22:S23"/>
  <sheetViews>
    <sheetView workbookViewId="0"/>
  </sheetViews>
  <sheetFormatPr defaultRowHeight="14.4" x14ac:dyDescent="0.3"/>
  <sheetData>
    <row r="22" spans="1:19" x14ac:dyDescent="0.3">
      <c r="A22" s="17" t="s">
        <v>11</v>
      </c>
      <c r="B22" s="17"/>
      <c r="C22" s="17"/>
      <c r="D22" s="17"/>
      <c r="E22" s="17"/>
      <c r="F22" s="17"/>
      <c r="G22" s="17"/>
      <c r="H22" s="17"/>
      <c r="I22" s="17"/>
      <c r="J22" s="17"/>
      <c r="K22" s="17"/>
      <c r="L22" s="17"/>
      <c r="M22" s="17"/>
      <c r="N22" s="17"/>
      <c r="O22" s="17"/>
      <c r="P22" s="17"/>
      <c r="Q22" s="17"/>
      <c r="R22" s="17"/>
      <c r="S22" s="17"/>
    </row>
    <row r="23" spans="1:19" x14ac:dyDescent="0.3">
      <c r="A23" s="17"/>
      <c r="B23" s="17"/>
      <c r="C23" s="17"/>
      <c r="D23" s="17"/>
      <c r="E23" s="17"/>
      <c r="F23" s="17"/>
      <c r="G23" s="17"/>
      <c r="H23" s="17"/>
      <c r="I23" s="17"/>
      <c r="J23" s="17"/>
      <c r="K23" s="17"/>
      <c r="L23" s="17"/>
      <c r="M23" s="17"/>
      <c r="N23" s="17"/>
      <c r="O23" s="17"/>
      <c r="P23" s="17"/>
      <c r="Q23" s="17"/>
      <c r="R23" s="17"/>
      <c r="S23" s="17"/>
    </row>
  </sheetData>
  <mergeCells count="1">
    <mergeCell ref="A22:S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BB41F9D-0132-4AB7-BEC7-6DEA7B5F19A0}">
  <ds:schemaRefs/>
</ds:datastoreItem>
</file>

<file path=customXml/itemProps2.xml><?xml version="1.0" encoding="utf-8"?>
<ds:datastoreItem xmlns:ds="http://schemas.openxmlformats.org/officeDocument/2006/customXml" ds:itemID="{24413BE3-B97C-422D-B3D2-14D78055604A}">
  <ds:schemaRefs/>
</ds:datastoreItem>
</file>

<file path=customXml/itemProps3.xml><?xml version="1.0" encoding="utf-8"?>
<ds:datastoreItem xmlns:ds="http://schemas.openxmlformats.org/officeDocument/2006/customXml" ds:itemID="{22776833-8C3D-45A1-8FB3-5216901001C2}">
  <ds:schemaRefs/>
</ds:datastoreItem>
</file>

<file path=customXml/itemProps4.xml><?xml version="1.0" encoding="utf-8"?>
<ds:datastoreItem xmlns:ds="http://schemas.openxmlformats.org/officeDocument/2006/customXml" ds:itemID="{67C88741-4CF2-40A1-9061-6108D178521B}">
  <ds:schemaRefs/>
</ds:datastoreItem>
</file>

<file path=customXml/itemProps5.xml><?xml version="1.0" encoding="utf-8"?>
<ds:datastoreItem xmlns:ds="http://schemas.openxmlformats.org/officeDocument/2006/customXml" ds:itemID="{9E8440AB-F4D7-4C3C-B7E8-A26E02C8F5D0}">
  <ds:schemaRefs/>
</ds:datastoreItem>
</file>

<file path=customXml/itemProps6.xml><?xml version="1.0" encoding="utf-8"?>
<ds:datastoreItem xmlns:ds="http://schemas.openxmlformats.org/officeDocument/2006/customXml" ds:itemID="{9945B4C0-79BF-48EC-BACA-63CF989AC5DA}">
  <ds:schemaRefs>
    <ds:schemaRef ds:uri="http://schemas.microsoft.com/DataMashup"/>
  </ds:schemaRefs>
</ds:datastoreItem>
</file>

<file path=customXml/itemProps7.xml><?xml version="1.0" encoding="utf-8"?>
<ds:datastoreItem xmlns:ds="http://schemas.openxmlformats.org/officeDocument/2006/customXml" ds:itemID="{DF4A85A0-AE20-4F9A-8F21-2524FDDCA623}">
  <ds:schemaRefs/>
</ds:datastoreItem>
</file>

<file path=customXml/itemProps8.xml><?xml version="1.0" encoding="utf-8"?>
<ds:datastoreItem xmlns:ds="http://schemas.openxmlformats.org/officeDocument/2006/customXml" ds:itemID="{3D6C308A-0FE5-49E2-B3E9-85E892D54033}">
  <ds:schemaRefs/>
</ds:datastoreItem>
</file>

<file path=customXml/itemProps9.xml><?xml version="1.0" encoding="utf-8"?>
<ds:datastoreItem xmlns:ds="http://schemas.openxmlformats.org/officeDocument/2006/customXml" ds:itemID="{045B0923-AABF-4FBF-803E-5C2678892B1D}">
  <ds:schemaRefs/>
</ds:datastoreItem>
</file>

<file path=customXml/itemProps10.xml><?xml version="1.0" encoding="utf-8"?>
<ds:datastoreItem xmlns:ds="http://schemas.openxmlformats.org/officeDocument/2006/customXml" ds:itemID="{273D075B-FE2A-44CB-B8FF-CB3614105391}">
  <ds:schemaRefs/>
</ds:datastoreItem>
</file>

<file path=customXml/itemProps11.xml><?xml version="1.0" encoding="utf-8"?>
<ds:datastoreItem xmlns:ds="http://schemas.openxmlformats.org/officeDocument/2006/customXml" ds:itemID="{B7EC5079-2954-4864-A80F-A32DE17FDDBD}">
  <ds:schemaRefs/>
</ds:datastoreItem>
</file>

<file path=customXml/itemProps12.xml><?xml version="1.0" encoding="utf-8"?>
<ds:datastoreItem xmlns:ds="http://schemas.openxmlformats.org/officeDocument/2006/customXml" ds:itemID="{96665E81-C881-4B22-9259-02204439F323}">
  <ds:schemaRefs/>
</ds:datastoreItem>
</file>

<file path=customXml/itemProps13.xml><?xml version="1.0" encoding="utf-8"?>
<ds:datastoreItem xmlns:ds="http://schemas.openxmlformats.org/officeDocument/2006/customXml" ds:itemID="{AF912103-875C-47C4-917F-92B4E197455C}">
  <ds:schemaRefs/>
</ds:datastoreItem>
</file>

<file path=customXml/itemProps14.xml><?xml version="1.0" encoding="utf-8"?>
<ds:datastoreItem xmlns:ds="http://schemas.openxmlformats.org/officeDocument/2006/customXml" ds:itemID="{57E56B0F-CED8-4E54-86A7-88F2389CBCAD}">
  <ds:schemaRefs/>
</ds:datastoreItem>
</file>

<file path=customXml/itemProps15.xml><?xml version="1.0" encoding="utf-8"?>
<ds:datastoreItem xmlns:ds="http://schemas.openxmlformats.org/officeDocument/2006/customXml" ds:itemID="{A78F5E11-D584-4F0A-A051-91327FB0E0BC}">
  <ds:schemaRefs/>
</ds:datastoreItem>
</file>

<file path=customXml/itemProps16.xml><?xml version="1.0" encoding="utf-8"?>
<ds:datastoreItem xmlns:ds="http://schemas.openxmlformats.org/officeDocument/2006/customXml" ds:itemID="{47870142-99DC-414B-A72A-E8D0D497A62E}">
  <ds:schemaRefs/>
</ds:datastoreItem>
</file>

<file path=customXml/itemProps17.xml><?xml version="1.0" encoding="utf-8"?>
<ds:datastoreItem xmlns:ds="http://schemas.openxmlformats.org/officeDocument/2006/customXml" ds:itemID="{0169D0CA-3F08-4789-880A-55043F175E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Daily ER No of patient</vt:lpstr>
      <vt:lpstr>Avg.Patient WaitTime</vt:lpstr>
      <vt:lpstr>Avg.Patient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Purkar</dc:creator>
  <cp:lastModifiedBy>Ashutosh Purkar</cp:lastModifiedBy>
  <dcterms:created xsi:type="dcterms:W3CDTF">2026-08-24T10:32:27Z</dcterms:created>
  <dcterms:modified xsi:type="dcterms:W3CDTF">2026-08-26T19:41:50Z</dcterms:modified>
</cp:coreProperties>
</file>